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tgieter\Desktop\"/>
    </mc:Choice>
  </mc:AlternateContent>
  <xr:revisionPtr revIDLastSave="0" documentId="13_ncr:1_{2A9E0D40-80E5-436B-B8E0-8AA009917502}" xr6:coauthVersionLast="47" xr6:coauthVersionMax="47" xr10:uidLastSave="{00000000-0000-0000-0000-000000000000}"/>
  <bookViews>
    <workbookView xWindow="-120" yWindow="-120" windowWidth="15600" windowHeight="11040" xr2:uid="{F9B0D33D-7295-4B51-95AE-2F8B24E1F895}"/>
  </bookViews>
  <sheets>
    <sheet name="TOTAL Aug 25 (Example)" sheetId="12" r:id="rId1"/>
    <sheet name="Check sheet employee" sheetId="13" r:id="rId2"/>
    <sheet name="Tracking  Table" sheetId="14" r:id="rId3"/>
    <sheet name="App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15" l="1"/>
  <c r="S18" i="15"/>
  <c r="S19" i="15"/>
  <c r="S20" i="15"/>
  <c r="S21" i="15"/>
  <c r="S22" i="15"/>
  <c r="S23" i="15"/>
  <c r="S24" i="15"/>
  <c r="S25" i="15"/>
  <c r="S16" i="15"/>
  <c r="S34" i="15"/>
  <c r="S35" i="15"/>
  <c r="S36" i="15"/>
  <c r="S37" i="15"/>
  <c r="S38" i="15"/>
  <c r="S39" i="15"/>
  <c r="S40" i="15"/>
  <c r="S41" i="15"/>
  <c r="S42" i="15"/>
  <c r="S33" i="15"/>
  <c r="N40" i="15"/>
  <c r="N39" i="15"/>
  <c r="N36" i="15"/>
  <c r="N35" i="15"/>
  <c r="N34" i="15"/>
  <c r="N37" i="15"/>
  <c r="N38" i="15"/>
  <c r="N41" i="15"/>
  <c r="N42" i="15"/>
  <c r="P42" i="15"/>
  <c r="P41" i="15"/>
  <c r="P40" i="15"/>
  <c r="P39" i="15"/>
  <c r="P38" i="15"/>
  <c r="P37" i="15"/>
  <c r="P36" i="15"/>
  <c r="P35" i="15"/>
  <c r="P34" i="15"/>
  <c r="P33" i="15"/>
  <c r="H23" i="15"/>
  <c r="H24" i="15"/>
  <c r="H25" i="15"/>
  <c r="H18" i="15"/>
  <c r="E27" i="15"/>
  <c r="H27" i="15" s="1"/>
  <c r="E26" i="15"/>
  <c r="H26" i="15" s="1"/>
  <c r="E25" i="15"/>
  <c r="E24" i="15"/>
  <c r="E23" i="15"/>
  <c r="E22" i="15"/>
  <c r="H22" i="15" s="1"/>
  <c r="E21" i="15"/>
  <c r="H21" i="15" s="1"/>
  <c r="E20" i="15"/>
  <c r="H20" i="15" s="1"/>
  <c r="E19" i="15"/>
  <c r="H19" i="15" s="1"/>
  <c r="E18" i="15"/>
  <c r="Y46" i="14"/>
  <c r="B67" i="12" l="1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29" i="12"/>
  <c r="H62" i="12"/>
  <c r="N33" i="15"/>
</calcChain>
</file>

<file path=xl/sharedStrings.xml><?xml version="1.0" encoding="utf-8"?>
<sst xmlns="http://schemas.openxmlformats.org/spreadsheetml/2006/main" count="439" uniqueCount="226">
  <si>
    <t xml:space="preserve">Date </t>
  </si>
  <si>
    <t>Amount</t>
  </si>
  <si>
    <t>Payouts</t>
  </si>
  <si>
    <t>Kids</t>
  </si>
  <si>
    <t>Payouts reason</t>
  </si>
  <si>
    <t>RBR</t>
  </si>
  <si>
    <t>Kids Rooms</t>
  </si>
  <si>
    <t>BR-5(1); BR17(1)</t>
  </si>
  <si>
    <t xml:space="preserve">Slip Number </t>
  </si>
  <si>
    <t>H11(2)</t>
  </si>
  <si>
    <t>Deposits</t>
  </si>
  <si>
    <t>Deposit room</t>
  </si>
  <si>
    <t>A2-21</t>
  </si>
  <si>
    <t>Br19(1),C2-1(1),D2-22(3),RB-12(1)</t>
  </si>
  <si>
    <t>BR-21(1),D2-21(1),Br2(20</t>
  </si>
  <si>
    <t>J18(1)</t>
  </si>
  <si>
    <t>Elec office</t>
  </si>
  <si>
    <t>1D(1),H6(1)</t>
  </si>
  <si>
    <t>Copies</t>
  </si>
  <si>
    <t>July</t>
  </si>
  <si>
    <t>H26(1)</t>
  </si>
  <si>
    <t>E2-3(1)</t>
  </si>
  <si>
    <t>K26</t>
  </si>
  <si>
    <t>Penalty</t>
  </si>
  <si>
    <t>Penalty room</t>
  </si>
  <si>
    <t>D2-4</t>
  </si>
  <si>
    <t>C6(1),J8(4)</t>
  </si>
  <si>
    <t>I5</t>
  </si>
  <si>
    <t>J11</t>
  </si>
  <si>
    <t>A2-22</t>
  </si>
  <si>
    <t>BR-3(1), BR4(2)</t>
  </si>
  <si>
    <t>Plumber ( d2-9,c2-23,c2-1,a2-15)</t>
  </si>
  <si>
    <t>H19</t>
  </si>
  <si>
    <t>A2-13</t>
  </si>
  <si>
    <t>??</t>
  </si>
  <si>
    <t>july</t>
  </si>
  <si>
    <t>I11(1)</t>
  </si>
  <si>
    <t>D2-2(2)</t>
  </si>
  <si>
    <t xml:space="preserve">Black bags </t>
  </si>
  <si>
    <t>D2-3(10,E2-21(2),RB8(1)</t>
  </si>
  <si>
    <t>Deposit I21 slip no 0180</t>
  </si>
  <si>
    <t>H16</t>
  </si>
  <si>
    <t>K9(2),I8(1)</t>
  </si>
  <si>
    <t>J4(1),J13(2),G6(1),6F(2),I29(1)</t>
  </si>
  <si>
    <t>Elec and super glue</t>
  </si>
  <si>
    <t>j17(1) i14(1)</t>
  </si>
  <si>
    <t>G14(2)</t>
  </si>
  <si>
    <t>RB14(1), C2-20(1)</t>
  </si>
  <si>
    <t>BR-8</t>
  </si>
  <si>
    <t>I28</t>
  </si>
  <si>
    <t>J20(2)</t>
  </si>
  <si>
    <t>2A</t>
  </si>
  <si>
    <t>G11,H28,H12,H31,J1,2D,K1,13F,1C,3B,K26,E4,I7,K14,J12</t>
  </si>
  <si>
    <t>H12,2D</t>
  </si>
  <si>
    <t>Many</t>
  </si>
  <si>
    <t>A2-19</t>
  </si>
  <si>
    <t>Ma1,Ma13,Ma31</t>
  </si>
  <si>
    <t>1E,3F</t>
  </si>
  <si>
    <t>RB20,RBR13,E2-14,E2-2</t>
  </si>
  <si>
    <t>E2-2</t>
  </si>
  <si>
    <t>Total</t>
  </si>
  <si>
    <t>Yaka</t>
  </si>
  <si>
    <t>Aug</t>
  </si>
  <si>
    <t>Smiso Paint stick</t>
  </si>
  <si>
    <t>B2-11,A2-12</t>
  </si>
  <si>
    <t xml:space="preserve">               </t>
  </si>
  <si>
    <t>3C</t>
  </si>
  <si>
    <t>STORE</t>
  </si>
  <si>
    <t>EMPTY</t>
  </si>
  <si>
    <t>STOP</t>
  </si>
  <si>
    <t>MA49</t>
  </si>
  <si>
    <t>RBR or Yakaza</t>
  </si>
  <si>
    <t>Yakaza</t>
  </si>
  <si>
    <t>Month</t>
  </si>
  <si>
    <t>Date :</t>
  </si>
  <si>
    <t>Rent For:</t>
  </si>
  <si>
    <t>Rent R:</t>
  </si>
  <si>
    <t>Deposit:</t>
  </si>
  <si>
    <t>Total:</t>
  </si>
  <si>
    <t>Pay-Out:</t>
  </si>
  <si>
    <t>Room No</t>
  </si>
  <si>
    <t>Deposit</t>
  </si>
  <si>
    <t xml:space="preserve">Late Penalty </t>
  </si>
  <si>
    <t>MONTH _______________________</t>
  </si>
  <si>
    <t>Shed</t>
  </si>
  <si>
    <t>Next to Shed</t>
  </si>
  <si>
    <t>Next to C</t>
  </si>
  <si>
    <t>Next to F</t>
  </si>
  <si>
    <t>Phezulu</t>
  </si>
  <si>
    <t>BR</t>
  </si>
  <si>
    <t>RB</t>
  </si>
  <si>
    <t>Store</t>
  </si>
  <si>
    <t>new</t>
  </si>
  <si>
    <t>store</t>
  </si>
  <si>
    <t>A2-102</t>
  </si>
  <si>
    <t>B2-102</t>
  </si>
  <si>
    <t>C2-102</t>
  </si>
  <si>
    <t>D2-102</t>
  </si>
  <si>
    <t>E2-102</t>
  </si>
  <si>
    <t>Stop</t>
  </si>
  <si>
    <t>KHUMALO</t>
  </si>
  <si>
    <t>Empty</t>
  </si>
  <si>
    <t>SABELO</t>
  </si>
  <si>
    <t>MA1</t>
  </si>
  <si>
    <t>MA13</t>
  </si>
  <si>
    <t>MA25</t>
  </si>
  <si>
    <t>MA37</t>
  </si>
  <si>
    <t>MA2</t>
  </si>
  <si>
    <t>MA14</t>
  </si>
  <si>
    <t>MA26</t>
  </si>
  <si>
    <t>MA38</t>
  </si>
  <si>
    <t>MA50</t>
  </si>
  <si>
    <t>Tuck shop 102</t>
  </si>
  <si>
    <t>MA3</t>
  </si>
  <si>
    <t>MA15</t>
  </si>
  <si>
    <t>MA27</t>
  </si>
  <si>
    <t>MA39</t>
  </si>
  <si>
    <t>MA51</t>
  </si>
  <si>
    <t>MA4</t>
  </si>
  <si>
    <t>MA16</t>
  </si>
  <si>
    <t>MA28</t>
  </si>
  <si>
    <t>MA40</t>
  </si>
  <si>
    <t>MA52</t>
  </si>
  <si>
    <t>MA5</t>
  </si>
  <si>
    <t>MA17</t>
  </si>
  <si>
    <t>MA29</t>
  </si>
  <si>
    <t>MA41</t>
  </si>
  <si>
    <t>MA53</t>
  </si>
  <si>
    <t>MA6</t>
  </si>
  <si>
    <t>MA18</t>
  </si>
  <si>
    <t>MA30</t>
  </si>
  <si>
    <t>MA42</t>
  </si>
  <si>
    <t>MA54</t>
  </si>
  <si>
    <t>MA7</t>
  </si>
  <si>
    <t>MA19</t>
  </si>
  <si>
    <t>MA31</t>
  </si>
  <si>
    <t>MA43</t>
  </si>
  <si>
    <t>MA55</t>
  </si>
  <si>
    <t>MA8</t>
  </si>
  <si>
    <t>MA20</t>
  </si>
  <si>
    <t>MA32</t>
  </si>
  <si>
    <t>MA44</t>
  </si>
  <si>
    <t>MA56</t>
  </si>
  <si>
    <t>MA9</t>
  </si>
  <si>
    <t>MA21</t>
  </si>
  <si>
    <t>MA33</t>
  </si>
  <si>
    <t>MA45</t>
  </si>
  <si>
    <t>MA10</t>
  </si>
  <si>
    <t>MA22</t>
  </si>
  <si>
    <t>MA34</t>
  </si>
  <si>
    <t>MA46</t>
  </si>
  <si>
    <t>MA11</t>
  </si>
  <si>
    <t>MA23</t>
  </si>
  <si>
    <t>MA35</t>
  </si>
  <si>
    <t>MA47</t>
  </si>
  <si>
    <t>MA12</t>
  </si>
  <si>
    <t>MA24</t>
  </si>
  <si>
    <t>MA36</t>
  </si>
  <si>
    <t>MA48</t>
  </si>
  <si>
    <r>
      <t xml:space="preserve">Next to </t>
    </r>
    <r>
      <rPr>
        <b/>
        <sz val="14"/>
        <color theme="1"/>
        <rFont val="Aptos Narrow"/>
        <family val="2"/>
        <scheme val="minor"/>
      </rPr>
      <t>D</t>
    </r>
  </si>
  <si>
    <t>1 (R150)</t>
  </si>
  <si>
    <t>2 (R150)</t>
  </si>
  <si>
    <t>3 (R150)</t>
  </si>
  <si>
    <t>4 (R150)</t>
  </si>
  <si>
    <t>4 (R90)</t>
  </si>
  <si>
    <t>A</t>
  </si>
  <si>
    <t>B</t>
  </si>
  <si>
    <t>C</t>
  </si>
  <si>
    <t>D</t>
  </si>
  <si>
    <t>E</t>
  </si>
  <si>
    <t>F</t>
  </si>
  <si>
    <t>New</t>
  </si>
  <si>
    <t>GUARD</t>
  </si>
  <si>
    <t>.</t>
  </si>
  <si>
    <t>G</t>
  </si>
  <si>
    <t>H</t>
  </si>
  <si>
    <t>I</t>
  </si>
  <si>
    <t>J</t>
  </si>
  <si>
    <t>K</t>
  </si>
  <si>
    <t>NEW</t>
  </si>
  <si>
    <t>Lungelo</t>
  </si>
  <si>
    <t>Room Number</t>
  </si>
  <si>
    <t>Date of payment</t>
  </si>
  <si>
    <t>Payment for which month</t>
  </si>
  <si>
    <t>If New ( Mark here)</t>
  </si>
  <si>
    <t>Deposit amount</t>
  </si>
  <si>
    <t>Rental if new( Formula to calculated based on dates)</t>
  </si>
  <si>
    <t>If kids stay with you how many (number)</t>
  </si>
  <si>
    <t>Extra charge per chilled ( R10)</t>
  </si>
  <si>
    <t>Other fees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</si>
  <si>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</si>
  <si>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</si>
  <si>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</si>
  <si>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</si>
  <si>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</si>
  <si>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</si>
  <si>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</si>
  <si>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</si>
  <si>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</si>
  <si>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</si>
  <si>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Sept</t>
  </si>
  <si>
    <t>Late Penalty payment ( formula to calculate based on the dates, cut of 4th every month,R20 per day)</t>
  </si>
  <si>
    <t>Gross Rental for month</t>
  </si>
  <si>
    <t>Total rental</t>
  </si>
  <si>
    <t>HOME SCREEN</t>
  </si>
  <si>
    <t>Can only select open rooms</t>
  </si>
  <si>
    <t>Can only select from the list provide from us, can only select once for each month</t>
  </si>
  <si>
    <t>Rental Payment for which month</t>
  </si>
  <si>
    <t>Refunds deposit</t>
  </si>
  <si>
    <t>Penalties for which month</t>
  </si>
  <si>
    <t>Only after a certain date</t>
  </si>
  <si>
    <t>New Rental which month</t>
  </si>
  <si>
    <t>Complaints or suggestion</t>
  </si>
  <si>
    <t>Date of refund</t>
  </si>
  <si>
    <t>Orginal deposit amount</t>
  </si>
  <si>
    <t>Cost to restore room to orginal state</t>
  </si>
  <si>
    <t>Amount due</t>
  </si>
  <si>
    <t>Refund for which month and year</t>
  </si>
  <si>
    <t>Contact details</t>
  </si>
  <si>
    <t>Contact person and number</t>
  </si>
  <si>
    <t>Plumbing (please explain and supply photo)</t>
  </si>
  <si>
    <t>Electrical (please explain and supply photo)</t>
  </si>
  <si>
    <t>Staff (please explain and supply photo)</t>
  </si>
  <si>
    <t>Paint (please explain and supply photo)</t>
  </si>
  <si>
    <t>Windows or doors (please explain and supply photo)</t>
  </si>
  <si>
    <t xml:space="preserve">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</si>
</sst>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&quot;#,##0;[Red]\-&quot;R&quot;#,##0"/>
    <numFmt numFmtId="164" formatCode="&quot;R&quot;#,##0.00"/>
    <numFmt numFmtId="165" formatCode="&quot;R&quot;\ #,##0;[Red]&quot;R&quot;\ \-#,##0"/>
    <numFmt numFmtId="166" formatCode="&quot;R&quot;\ #,##0.00"/>
    <numFmt numFmtId="167" formatCode="&quot;R&quot;\ #,##0.00;[Red]&quot;R&quot;\ \-#,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3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Vertical">
        <bgColor theme="0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16" fontId="0" fillId="3" borderId="1" xfId="0" applyNumberFormat="1" applyFill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4" fontId="0" fillId="0" borderId="1" xfId="0" applyNumberFormat="1" applyBorder="1"/>
    <xf numFmtId="4" fontId="0" fillId="2" borderId="1" xfId="0" applyNumberFormat="1" applyFill="1" applyBorder="1"/>
    <xf numFmtId="4" fontId="4" fillId="0" borderId="0" xfId="0" applyNumberFormat="1" applyFont="1"/>
    <xf numFmtId="4" fontId="3" fillId="0" borderId="1" xfId="0" applyNumberFormat="1" applyFont="1" applyBorder="1"/>
    <xf numFmtId="164" fontId="2" fillId="0" borderId="2" xfId="0" applyNumberFormat="1" applyFont="1" applyBorder="1"/>
    <xf numFmtId="0" fontId="0" fillId="0" borderId="2" xfId="0" applyBorder="1"/>
    <xf numFmtId="4" fontId="0" fillId="0" borderId="2" xfId="0" applyNumberFormat="1" applyBorder="1"/>
    <xf numFmtId="4" fontId="4" fillId="0" borderId="3" xfId="0" applyNumberFormat="1" applyFont="1" applyBorder="1"/>
    <xf numFmtId="0" fontId="0" fillId="0" borderId="3" xfId="0" applyBorder="1"/>
    <xf numFmtId="0" fontId="1" fillId="0" borderId="3" xfId="0" applyFont="1" applyBorder="1"/>
    <xf numFmtId="16" fontId="0" fillId="0" borderId="1" xfId="0" applyNumberFormat="1" applyBorder="1"/>
    <xf numFmtId="0" fontId="6" fillId="0" borderId="1" xfId="0" applyFont="1" applyBorder="1"/>
    <xf numFmtId="0" fontId="7" fillId="0" borderId="0" xfId="0" applyFont="1"/>
    <xf numFmtId="0" fontId="7" fillId="0" borderId="1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wrapText="1"/>
    </xf>
    <xf numFmtId="0" fontId="1" fillId="0" borderId="18" xfId="0" applyFont="1" applyBorder="1"/>
    <xf numFmtId="0" fontId="1" fillId="0" borderId="1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5" fillId="0" borderId="22" xfId="0" applyFont="1" applyBorder="1"/>
    <xf numFmtId="0" fontId="9" fillId="0" borderId="22" xfId="0" applyFont="1" applyBorder="1"/>
    <xf numFmtId="0" fontId="9" fillId="0" borderId="23" xfId="0" applyFont="1" applyBorder="1" applyAlignment="1">
      <alignment horizontal="center"/>
    </xf>
    <xf numFmtId="165" fontId="10" fillId="0" borderId="24" xfId="0" applyNumberFormat="1" applyFont="1" applyBorder="1" applyAlignment="1">
      <alignment horizontal="center"/>
    </xf>
    <xf numFmtId="0" fontId="10" fillId="0" borderId="25" xfId="0" applyFont="1" applyBorder="1"/>
    <xf numFmtId="0" fontId="10" fillId="0" borderId="17" xfId="0" applyFont="1" applyBorder="1" applyAlignment="1">
      <alignment horizontal="right"/>
    </xf>
    <xf numFmtId="0" fontId="9" fillId="0" borderId="17" xfId="0" applyFont="1" applyBorder="1"/>
    <xf numFmtId="0" fontId="9" fillId="0" borderId="25" xfId="0" applyFont="1" applyBorder="1"/>
    <xf numFmtId="165" fontId="11" fillId="0" borderId="26" xfId="0" applyNumberFormat="1" applyFont="1" applyBorder="1" applyAlignment="1">
      <alignment horizontal="center"/>
    </xf>
    <xf numFmtId="0" fontId="10" fillId="0" borderId="27" xfId="0" applyFont="1" applyBorder="1"/>
    <xf numFmtId="0" fontId="10" fillId="0" borderId="0" xfId="0" applyFont="1"/>
    <xf numFmtId="0" fontId="9" fillId="0" borderId="27" xfId="0" applyFont="1" applyBorder="1"/>
    <xf numFmtId="0" fontId="10" fillId="0" borderId="28" xfId="0" applyFont="1" applyBorder="1"/>
    <xf numFmtId="4" fontId="9" fillId="0" borderId="0" xfId="0" applyNumberFormat="1" applyFont="1"/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7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9" xfId="0" applyFont="1" applyBorder="1"/>
    <xf numFmtId="0" fontId="9" fillId="0" borderId="2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" xfId="0" applyFont="1" applyBorder="1"/>
    <xf numFmtId="0" fontId="9" fillId="0" borderId="2" xfId="0" applyFont="1" applyBorder="1"/>
    <xf numFmtId="0" fontId="9" fillId="4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0" fontId="9" fillId="4" borderId="1" xfId="0" applyFont="1" applyFill="1" applyBorder="1"/>
    <xf numFmtId="0" fontId="9" fillId="5" borderId="25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/>
    <xf numFmtId="0" fontId="9" fillId="0" borderId="3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66" fontId="9" fillId="0" borderId="0" xfId="0" applyNumberFormat="1" applyFont="1"/>
    <xf numFmtId="165" fontId="9" fillId="2" borderId="0" xfId="0" applyNumberFormat="1" applyFont="1" applyFill="1"/>
    <xf numFmtId="166" fontId="5" fillId="0" borderId="0" xfId="0" applyNumberFormat="1" applyFont="1" applyAlignment="1">
      <alignment horizontal="left"/>
    </xf>
    <xf numFmtId="0" fontId="9" fillId="0" borderId="8" xfId="0" applyFont="1" applyBorder="1" applyAlignment="1">
      <alignment horizontal="center" vertical="center"/>
    </xf>
    <xf numFmtId="0" fontId="9" fillId="5" borderId="7" xfId="0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10" xfId="0" applyFont="1" applyFill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6" fontId="9" fillId="0" borderId="0" xfId="0" applyNumberFormat="1" applyFont="1"/>
    <xf numFmtId="167" fontId="5" fillId="0" borderId="0" xfId="0" applyNumberFormat="1" applyFont="1"/>
    <xf numFmtId="165" fontId="9" fillId="0" borderId="1" xfId="0" applyNumberFormat="1" applyFont="1" applyBorder="1"/>
    <xf numFmtId="167" fontId="9" fillId="0" borderId="0" xfId="0" applyNumberFormat="1" applyFont="1"/>
    <xf numFmtId="6" fontId="9" fillId="0" borderId="1" xfId="0" applyNumberFormat="1" applyFont="1" applyBorder="1"/>
    <xf numFmtId="0" fontId="10" fillId="0" borderId="0" xfId="0" applyFont="1" applyAlignment="1">
      <alignment horizontal="center"/>
    </xf>
    <xf numFmtId="0" fontId="10" fillId="0" borderId="27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165" fontId="9" fillId="0" borderId="0" xfId="0" applyNumberFormat="1" applyFont="1"/>
    <xf numFmtId="165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0" fillId="0" borderId="25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37" xfId="0" applyFont="1" applyBorder="1"/>
    <xf numFmtId="0" fontId="11" fillId="4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9" fillId="8" borderId="0" xfId="0" applyFont="1" applyFill="1"/>
    <xf numFmtId="6" fontId="9" fillId="8" borderId="0" xfId="0" applyNumberFormat="1" applyFont="1" applyFill="1"/>
    <xf numFmtId="0" fontId="0" fillId="8" borderId="0" xfId="0" applyFill="1"/>
    <xf numFmtId="164" fontId="5" fillId="0" borderId="0" xfId="0" applyNumberFormat="1" applyFont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0" fillId="0" borderId="24" xfId="0" applyBorder="1"/>
    <xf numFmtId="0" fontId="0" fillId="0" borderId="44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12" fillId="0" borderId="24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" fontId="0" fillId="0" borderId="10" xfId="0" applyNumberFormat="1" applyBorder="1"/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</xdr:colOff>
      <xdr:row>10</xdr:row>
      <xdr:rowOff>47624</xdr:rowOff>
    </xdr:from>
    <xdr:to>
      <xdr:col>3</xdr:col>
      <xdr:colOff>71437</xdr:colOff>
      <xdr:row>15</xdr:row>
      <xdr:rowOff>139124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F6D79B5-976F-355A-6062-47E80396FB0E}"/>
            </a:ext>
          </a:extLst>
        </xdr:cNvPr>
        <xdr:cNvCxnSpPr/>
      </xdr:nvCxnSpPr>
      <xdr:spPr>
        <a:xfrm>
          <a:off x="2536031" y="1976437"/>
          <a:ext cx="0" cy="1044000"/>
        </a:xfrm>
        <a:prstGeom prst="straightConnector1">
          <a:avLst/>
        </a:prstGeom>
        <a:ln w="571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1009650</xdr:colOff>
      <xdr:row>7</xdr:row>
      <xdr:rowOff>114300</xdr:rowOff>
    </xdr:from>
    <xdr:to>
      <xdr:col>6</xdr:col>
      <xdr:colOff>1009650</xdr:colOff>
      <xdr:row>14</xdr:row>
      <xdr:rowOff>152400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BEAB7A3-4C2C-B612-9034-0CC66D114523}"/>
            </a:ext>
          </a:extLst>
        </xdr:cNvPr>
        <xdr:cNvCxnSpPr/>
      </xdr:nvCxnSpPr>
      <xdr:spPr>
        <a:xfrm>
          <a:off x="5638800" y="1485900"/>
          <a:ext cx="0" cy="1371600"/>
        </a:xfrm>
        <a:prstGeom prst="line">
          <a:avLst/>
        </a:prstGeom>
        <a:ln w="34925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990600</xdr:colOff>
      <xdr:row>14</xdr:row>
      <xdr:rowOff>171450</xdr:rowOff>
    </xdr:from>
    <xdr:to>
      <xdr:col>9</xdr:col>
      <xdr:colOff>353785</xdr:colOff>
      <xdr:row>15</xdr:row>
      <xdr:rowOff>81643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F0C5450-97CB-0513-887C-EC0AE10FF632}"/>
            </a:ext>
          </a:extLst>
        </xdr:cNvPr>
        <xdr:cNvCxnSpPr/>
      </xdr:nvCxnSpPr>
      <xdr:spPr>
        <a:xfrm>
          <a:off x="5943600" y="2865664"/>
          <a:ext cx="2846614" cy="1053193"/>
        </a:xfrm>
        <a:prstGeom prst="line">
          <a:avLst/>
        </a:prstGeom>
        <a:ln w="381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334735</xdr:colOff>
      <xdr:row>15</xdr:row>
      <xdr:rowOff>57150</xdr:rowOff>
    </xdr:from>
    <xdr:to>
      <xdr:col>9</xdr:col>
      <xdr:colOff>334735</xdr:colOff>
      <xdr:row>30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FA6D881-24E9-DBE2-2A16-871133957AC3}"/>
            </a:ext>
          </a:extLst>
        </xdr:cNvPr>
        <xdr:cNvCxnSpPr/>
      </xdr:nvCxnSpPr>
      <xdr:spPr>
        <a:xfrm>
          <a:off x="8771164" y="3894364"/>
          <a:ext cx="0" cy="3763736"/>
        </a:xfrm>
        <a:prstGeom prst="straightConnector1">
          <a:avLst/>
        </a:prstGeom>
        <a:ln w="34925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326571</xdr:colOff>
      <xdr:row>7</xdr:row>
      <xdr:rowOff>27214</xdr:rowOff>
    </xdr:from>
    <xdr:to>
      <xdr:col>12</xdr:col>
      <xdr:colOff>898072</xdr:colOff>
      <xdr:row>13</xdr:row>
      <xdr:rowOff>163286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A307D7B-C47D-A078-AD27-0349A3B5B441}"/>
            </a:ext>
          </a:extLst>
        </xdr:cNvPr>
        <xdr:cNvCxnSpPr/>
      </xdr:nvCxnSpPr>
      <xdr:spPr>
        <a:xfrm>
          <a:off x="10722428" y="1387928"/>
          <a:ext cx="571501" cy="1279072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</xdr:colOff>
      <xdr:row>6</xdr:row>
      <xdr:rowOff>81643</xdr:rowOff>
    </xdr:from>
    <xdr:to>
      <xdr:col>10</xdr:col>
      <xdr:colOff>163285</xdr:colOff>
      <xdr:row>29</xdr:row>
      <xdr:rowOff>122465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61CE7A6-A4C8-8573-4287-3234F8860D0F}"/>
            </a:ext>
          </a:extLst>
        </xdr:cNvPr>
        <xdr:cNvCxnSpPr/>
      </xdr:nvCxnSpPr>
      <xdr:spPr>
        <a:xfrm>
          <a:off x="8354786" y="1251857"/>
          <a:ext cx="149678" cy="6327322"/>
        </a:xfrm>
        <a:prstGeom prst="straightConnector1">
          <a:avLst/>
        </a:prstGeom>
        <a:ln w="34925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625928</xdr:colOff>
      <xdr:row>29</xdr:row>
      <xdr:rowOff>68036</xdr:rowOff>
    </xdr:from>
    <xdr:to>
      <xdr:col>10</xdr:col>
      <xdr:colOff>190500</xdr:colOff>
      <xdr:row>29</xdr:row>
      <xdr:rowOff>95250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5E6D9B6-D845-4D91-BE73-8749AEE2E979}"/>
            </a:ext>
          </a:extLst>
        </xdr:cNvPr>
        <xdr:cNvCxnSpPr/>
      </xdr:nvCxnSpPr>
      <xdr:spPr>
        <a:xfrm flipH="1" flipV="1">
          <a:off x="5252357" y="7524750"/>
          <a:ext cx="3279322" cy="27214"/>
        </a:xfrm>
        <a:prstGeom prst="straightConnector1">
          <a:avLst/>
        </a:prstGeom>
        <a:ln w="3175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693964</xdr:colOff>
      <xdr:row>29</xdr:row>
      <xdr:rowOff>136072</xdr:rowOff>
    </xdr:from>
    <xdr:to>
      <xdr:col>6</xdr:col>
      <xdr:colOff>775607</xdr:colOff>
      <xdr:row>47</xdr:row>
      <xdr:rowOff>68036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C0099C3-6AAC-4791-B7BB-D828C828BDEE}"/>
            </a:ext>
          </a:extLst>
        </xdr:cNvPr>
        <xdr:cNvCxnSpPr/>
      </xdr:nvCxnSpPr>
      <xdr:spPr>
        <a:xfrm>
          <a:off x="5320393" y="7592786"/>
          <a:ext cx="81643" cy="4694464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108857</xdr:colOff>
      <xdr:row>6</xdr:row>
      <xdr:rowOff>81643</xdr:rowOff>
    </xdr:from>
    <xdr:to>
      <xdr:col>23</xdr:col>
      <xdr:colOff>408214</xdr:colOff>
      <xdr:row>11</xdr:row>
      <xdr:rowOff>54429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8DBACE5-5CF1-427B-9D0C-514D41D8508B}"/>
            </a:ext>
          </a:extLst>
        </xdr:cNvPr>
        <xdr:cNvCxnSpPr/>
      </xdr:nvCxnSpPr>
      <xdr:spPr>
        <a:xfrm>
          <a:off x="15280821" y="1251857"/>
          <a:ext cx="4953000" cy="925286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1392-D0C0-4B5B-8F76-B78015D9084C}">
  <sheetPr>
    <pageSetUpPr fitToPage="1"/>
  </sheetPr>
  <dimension ref="A1:M89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D68" sqref="D68"/>
    </sheetView>
  </sheetViews>
  <sheetFormatPr defaultRowHeight="15" x14ac:dyDescent="0.25"/>
  <cols>
    <col min="1" max="1" width="7.42578125" customWidth="1"/>
    <col min="2" max="2" width="12.85546875" bestFit="1" customWidth="1"/>
    <col min="3" max="3" width="22.140625" bestFit="1" customWidth="1"/>
    <col min="4" max="4" width="13" bestFit="1" customWidth="1"/>
    <col min="5" max="5" width="23.85546875" bestFit="1" customWidth="1"/>
    <col min="6" max="6" width="14.28515625" bestFit="1" customWidth="1"/>
    <col min="7" max="7" width="21.140625" bestFit="1" customWidth="1"/>
    <col min="8" max="8" width="13.42578125" customWidth="1"/>
    <col min="9" max="9" width="21.85546875" bestFit="1" customWidth="1"/>
    <col min="11" max="11" width="23.5703125" bestFit="1" customWidth="1"/>
    <col min="12" max="12" width="20.42578125" bestFit="1" customWidth="1"/>
  </cols>
  <sheetData>
    <row r="1" spans="1:13" s="23" customFormat="1" ht="24" x14ac:dyDescent="0.4">
      <c r="A1" s="22" t="s">
        <v>0</v>
      </c>
      <c r="B1" s="22" t="s">
        <v>1</v>
      </c>
      <c r="C1" s="22" t="s">
        <v>71</v>
      </c>
      <c r="D1" s="22" t="s">
        <v>2</v>
      </c>
      <c r="E1" s="22" t="s">
        <v>4</v>
      </c>
      <c r="F1" s="22" t="s">
        <v>10</v>
      </c>
      <c r="G1" s="22" t="s">
        <v>11</v>
      </c>
      <c r="H1" s="22" t="s">
        <v>23</v>
      </c>
      <c r="I1" s="22" t="s">
        <v>24</v>
      </c>
      <c r="J1" s="22" t="s">
        <v>3</v>
      </c>
      <c r="K1" s="22" t="s">
        <v>6</v>
      </c>
      <c r="L1" s="22" t="s">
        <v>8</v>
      </c>
      <c r="M1" s="24" t="s">
        <v>73</v>
      </c>
    </row>
    <row r="2" spans="1:13" x14ac:dyDescent="0.25">
      <c r="A2" s="6">
        <v>45853</v>
      </c>
      <c r="B2" s="9">
        <v>1000</v>
      </c>
      <c r="C2" s="1" t="s">
        <v>5</v>
      </c>
      <c r="D2" s="11">
        <v>0</v>
      </c>
      <c r="E2" s="1">
        <v>0</v>
      </c>
      <c r="F2" s="7">
        <v>0</v>
      </c>
      <c r="G2" s="1">
        <v>0</v>
      </c>
      <c r="H2" s="7">
        <v>0</v>
      </c>
      <c r="I2" s="1">
        <v>0</v>
      </c>
      <c r="J2" s="7">
        <v>0</v>
      </c>
      <c r="K2" s="2">
        <v>0</v>
      </c>
      <c r="L2" s="1">
        <v>4</v>
      </c>
      <c r="M2" s="1" t="s">
        <v>62</v>
      </c>
    </row>
    <row r="3" spans="1:13" x14ac:dyDescent="0.25">
      <c r="A3" s="6">
        <v>45853</v>
      </c>
      <c r="B3" s="9">
        <v>800</v>
      </c>
      <c r="C3" s="1" t="s">
        <v>5</v>
      </c>
      <c r="D3" s="11">
        <v>0</v>
      </c>
      <c r="E3" s="1">
        <v>0</v>
      </c>
      <c r="F3" s="7">
        <v>0</v>
      </c>
      <c r="G3" s="1">
        <v>0</v>
      </c>
      <c r="H3" s="7">
        <v>0</v>
      </c>
      <c r="I3" s="1">
        <v>0</v>
      </c>
      <c r="J3" s="7">
        <v>100</v>
      </c>
      <c r="K3" s="2" t="s">
        <v>21</v>
      </c>
      <c r="L3" s="1">
        <v>3</v>
      </c>
      <c r="M3" s="1" t="s">
        <v>62</v>
      </c>
    </row>
    <row r="4" spans="1:13" x14ac:dyDescent="0.25">
      <c r="A4" s="6">
        <v>45853</v>
      </c>
      <c r="B4" s="10">
        <v>1200</v>
      </c>
      <c r="C4" s="4" t="s">
        <v>72</v>
      </c>
      <c r="D4" s="12">
        <v>0</v>
      </c>
      <c r="E4" s="4">
        <v>0</v>
      </c>
      <c r="F4" s="8">
        <v>600</v>
      </c>
      <c r="G4" s="4" t="s">
        <v>22</v>
      </c>
      <c r="H4" s="8">
        <v>0</v>
      </c>
      <c r="I4" s="4">
        <v>0</v>
      </c>
      <c r="J4" s="8">
        <v>0</v>
      </c>
      <c r="K4" s="5">
        <v>0</v>
      </c>
      <c r="L4" s="4">
        <v>2</v>
      </c>
      <c r="M4" s="1" t="s">
        <v>19</v>
      </c>
    </row>
    <row r="5" spans="1:13" x14ac:dyDescent="0.25">
      <c r="A5" s="6">
        <v>45853</v>
      </c>
      <c r="B5" s="10">
        <v>120</v>
      </c>
      <c r="C5" s="4" t="s">
        <v>5</v>
      </c>
      <c r="D5" s="12">
        <v>0</v>
      </c>
      <c r="E5" s="4">
        <v>0</v>
      </c>
      <c r="F5" s="8">
        <v>0</v>
      </c>
      <c r="G5" s="4">
        <v>0</v>
      </c>
      <c r="H5" s="8">
        <v>280</v>
      </c>
      <c r="I5" s="4" t="s">
        <v>25</v>
      </c>
      <c r="J5" s="8">
        <v>0</v>
      </c>
      <c r="K5" s="5">
        <v>0</v>
      </c>
      <c r="L5" s="4">
        <v>1</v>
      </c>
      <c r="M5" s="1" t="s">
        <v>19</v>
      </c>
    </row>
    <row r="6" spans="1:13" ht="45" x14ac:dyDescent="0.25">
      <c r="A6" s="6">
        <v>45854</v>
      </c>
      <c r="B6" s="10">
        <v>100</v>
      </c>
      <c r="C6" s="4" t="s">
        <v>72</v>
      </c>
      <c r="D6" s="12">
        <v>300</v>
      </c>
      <c r="E6" s="5" t="s">
        <v>31</v>
      </c>
      <c r="F6" s="8">
        <v>600</v>
      </c>
      <c r="G6" s="4" t="s">
        <v>32</v>
      </c>
      <c r="H6" s="8">
        <v>0</v>
      </c>
      <c r="I6" s="4">
        <v>0</v>
      </c>
      <c r="J6" s="8">
        <v>0</v>
      </c>
      <c r="K6" s="4">
        <v>0</v>
      </c>
      <c r="L6" s="4">
        <v>1</v>
      </c>
      <c r="M6" s="1" t="s">
        <v>19</v>
      </c>
    </row>
    <row r="7" spans="1:13" x14ac:dyDescent="0.25">
      <c r="A7" s="6">
        <v>45855</v>
      </c>
      <c r="B7" s="9">
        <v>500</v>
      </c>
      <c r="C7" s="1" t="s">
        <v>5</v>
      </c>
      <c r="D7" s="11">
        <v>0</v>
      </c>
      <c r="E7" s="1">
        <v>0</v>
      </c>
      <c r="F7" s="7">
        <v>0</v>
      </c>
      <c r="G7" s="1">
        <v>0</v>
      </c>
      <c r="H7" s="7">
        <v>0</v>
      </c>
      <c r="I7" s="1">
        <v>0</v>
      </c>
      <c r="J7" s="7">
        <v>0</v>
      </c>
      <c r="K7" s="2">
        <v>0</v>
      </c>
      <c r="L7" s="1">
        <v>2</v>
      </c>
      <c r="M7" s="1" t="s">
        <v>62</v>
      </c>
    </row>
    <row r="8" spans="1:13" x14ac:dyDescent="0.25">
      <c r="A8" s="6">
        <v>45855</v>
      </c>
      <c r="B8" s="10">
        <v>500</v>
      </c>
      <c r="C8" s="4" t="s">
        <v>72</v>
      </c>
      <c r="D8" s="12">
        <v>3</v>
      </c>
      <c r="E8" s="4" t="s">
        <v>18</v>
      </c>
      <c r="F8" s="8"/>
      <c r="G8" s="4"/>
      <c r="H8" s="8">
        <v>320</v>
      </c>
      <c r="I8" s="4" t="s">
        <v>49</v>
      </c>
      <c r="J8" s="8"/>
      <c r="K8" s="5"/>
      <c r="L8" s="4">
        <v>1</v>
      </c>
      <c r="M8" s="1" t="s">
        <v>19</v>
      </c>
    </row>
    <row r="9" spans="1:13" x14ac:dyDescent="0.25">
      <c r="A9" s="6">
        <v>45856</v>
      </c>
      <c r="B9" s="9">
        <v>500</v>
      </c>
      <c r="C9" s="1" t="s">
        <v>5</v>
      </c>
      <c r="D9" s="11">
        <v>0</v>
      </c>
      <c r="E9" s="1">
        <v>0</v>
      </c>
      <c r="F9" s="7">
        <v>0</v>
      </c>
      <c r="G9" s="1">
        <v>0</v>
      </c>
      <c r="H9" s="7">
        <v>0</v>
      </c>
      <c r="I9" s="1">
        <v>0</v>
      </c>
      <c r="J9" s="7">
        <v>0</v>
      </c>
      <c r="K9" s="1">
        <v>0</v>
      </c>
      <c r="L9" s="1">
        <v>1</v>
      </c>
      <c r="M9" s="1" t="s">
        <v>62</v>
      </c>
    </row>
    <row r="10" spans="1:13" x14ac:dyDescent="0.25">
      <c r="A10" s="6">
        <v>45856</v>
      </c>
      <c r="B10" s="9">
        <v>200</v>
      </c>
      <c r="C10" s="1" t="s">
        <v>5</v>
      </c>
      <c r="D10" s="11">
        <v>0</v>
      </c>
      <c r="E10" s="1">
        <v>0</v>
      </c>
      <c r="F10" s="7">
        <v>0</v>
      </c>
      <c r="G10" s="1">
        <v>0</v>
      </c>
      <c r="H10" s="7">
        <v>0</v>
      </c>
      <c r="I10" s="1">
        <v>0</v>
      </c>
      <c r="J10" s="7">
        <v>0</v>
      </c>
      <c r="K10" s="1">
        <v>0</v>
      </c>
      <c r="L10" s="1">
        <v>2</v>
      </c>
      <c r="M10" s="1" t="s">
        <v>62</v>
      </c>
    </row>
    <row r="11" spans="1:13" x14ac:dyDescent="0.25">
      <c r="A11" s="6">
        <v>45856</v>
      </c>
      <c r="B11" s="9">
        <v>200</v>
      </c>
      <c r="C11" s="1" t="s">
        <v>72</v>
      </c>
      <c r="D11" s="11">
        <v>0</v>
      </c>
      <c r="E11" s="1">
        <v>0</v>
      </c>
      <c r="F11" s="7">
        <v>0</v>
      </c>
      <c r="G11" s="1">
        <v>0</v>
      </c>
      <c r="H11" s="7">
        <v>0</v>
      </c>
      <c r="I11" s="1">
        <v>0</v>
      </c>
      <c r="J11" s="7">
        <v>0</v>
      </c>
      <c r="K11" s="1">
        <v>0</v>
      </c>
      <c r="L11" s="1">
        <v>3</v>
      </c>
      <c r="M11" s="1" t="s">
        <v>62</v>
      </c>
    </row>
    <row r="12" spans="1:13" x14ac:dyDescent="0.25">
      <c r="A12" s="6">
        <v>45857</v>
      </c>
      <c r="B12" s="10">
        <v>300</v>
      </c>
      <c r="C12" s="4" t="s">
        <v>72</v>
      </c>
      <c r="D12" s="12">
        <v>0</v>
      </c>
      <c r="E12" s="4">
        <v>0</v>
      </c>
      <c r="F12" s="8">
        <v>0</v>
      </c>
      <c r="G12" s="4">
        <v>0</v>
      </c>
      <c r="H12" s="8"/>
      <c r="I12" s="4">
        <v>0</v>
      </c>
      <c r="J12" s="8">
        <v>0</v>
      </c>
      <c r="K12" s="4">
        <v>0</v>
      </c>
      <c r="L12" s="4" t="s">
        <v>34</v>
      </c>
      <c r="M12" s="1" t="s">
        <v>35</v>
      </c>
    </row>
    <row r="13" spans="1:13" x14ac:dyDescent="0.25">
      <c r="A13" s="6">
        <v>45859</v>
      </c>
      <c r="B13" s="9">
        <v>500</v>
      </c>
      <c r="C13" s="1" t="s">
        <v>72</v>
      </c>
      <c r="D13" s="11">
        <v>200</v>
      </c>
      <c r="E13" s="1" t="s">
        <v>16</v>
      </c>
      <c r="F13" s="7">
        <v>0</v>
      </c>
      <c r="G13" s="1">
        <v>0</v>
      </c>
      <c r="H13" s="7">
        <v>400</v>
      </c>
      <c r="I13" s="1" t="s">
        <v>27</v>
      </c>
      <c r="J13" s="7">
        <v>0</v>
      </c>
      <c r="K13" s="1">
        <v>0</v>
      </c>
      <c r="L13" s="1">
        <v>1</v>
      </c>
      <c r="M13" s="1" t="s">
        <v>19</v>
      </c>
    </row>
    <row r="14" spans="1:13" x14ac:dyDescent="0.25">
      <c r="A14" s="6">
        <v>45860</v>
      </c>
      <c r="B14" s="9">
        <v>200</v>
      </c>
      <c r="C14" s="1" t="s">
        <v>5</v>
      </c>
      <c r="D14" s="11">
        <v>0</v>
      </c>
      <c r="E14" s="1">
        <v>0</v>
      </c>
      <c r="F14" s="7">
        <v>0</v>
      </c>
      <c r="G14" s="1">
        <v>0</v>
      </c>
      <c r="H14" s="7">
        <v>0</v>
      </c>
      <c r="I14" s="1">
        <v>0</v>
      </c>
      <c r="J14" s="7">
        <v>0</v>
      </c>
      <c r="K14" s="1">
        <v>0</v>
      </c>
      <c r="L14" s="1">
        <v>1</v>
      </c>
      <c r="M14" s="1" t="s">
        <v>62</v>
      </c>
    </row>
    <row r="15" spans="1:13" x14ac:dyDescent="0.25">
      <c r="A15" s="6">
        <v>45860</v>
      </c>
      <c r="B15" s="10">
        <v>500</v>
      </c>
      <c r="C15" s="4" t="s">
        <v>5</v>
      </c>
      <c r="D15" s="12">
        <v>0</v>
      </c>
      <c r="E15" s="4">
        <v>0</v>
      </c>
      <c r="F15" s="8">
        <v>0</v>
      </c>
      <c r="G15" s="4">
        <v>0</v>
      </c>
      <c r="H15" s="8">
        <v>420</v>
      </c>
      <c r="I15" s="4" t="s">
        <v>33</v>
      </c>
      <c r="J15" s="8">
        <v>0</v>
      </c>
      <c r="K15" s="4">
        <v>0</v>
      </c>
      <c r="L15" s="4">
        <v>2</v>
      </c>
      <c r="M15" s="4" t="s">
        <v>19</v>
      </c>
    </row>
    <row r="16" spans="1:13" x14ac:dyDescent="0.25">
      <c r="A16" s="6">
        <v>45860</v>
      </c>
      <c r="B16" s="9">
        <v>400</v>
      </c>
      <c r="C16" s="1" t="s">
        <v>5</v>
      </c>
      <c r="D16" s="11">
        <v>0</v>
      </c>
      <c r="E16" s="1">
        <v>0</v>
      </c>
      <c r="F16" s="7">
        <v>0</v>
      </c>
      <c r="G16" s="1">
        <v>0</v>
      </c>
      <c r="H16" s="7">
        <v>0</v>
      </c>
      <c r="I16" s="1">
        <v>0</v>
      </c>
      <c r="J16" s="7">
        <v>0</v>
      </c>
      <c r="K16" s="1">
        <v>0</v>
      </c>
      <c r="L16" s="1">
        <v>3</v>
      </c>
      <c r="M16" s="1" t="s">
        <v>62</v>
      </c>
    </row>
    <row r="17" spans="1:13" x14ac:dyDescent="0.25">
      <c r="A17" s="6">
        <v>45861</v>
      </c>
      <c r="B17" s="9">
        <v>400</v>
      </c>
      <c r="C17" s="1" t="s">
        <v>72</v>
      </c>
      <c r="D17" s="11">
        <v>0</v>
      </c>
      <c r="E17" s="1">
        <v>0</v>
      </c>
      <c r="F17" s="7">
        <v>0</v>
      </c>
      <c r="G17" s="1">
        <v>0</v>
      </c>
      <c r="H17" s="7">
        <v>0</v>
      </c>
      <c r="I17" s="1">
        <v>0</v>
      </c>
      <c r="J17" s="7">
        <v>100</v>
      </c>
      <c r="K17" s="1" t="s">
        <v>36</v>
      </c>
      <c r="L17" s="1">
        <v>2</v>
      </c>
      <c r="M17" s="1" t="s">
        <v>62</v>
      </c>
    </row>
    <row r="18" spans="1:13" x14ac:dyDescent="0.25">
      <c r="A18" s="6">
        <v>45861</v>
      </c>
      <c r="B18" s="9">
        <v>260</v>
      </c>
      <c r="C18" s="1" t="s">
        <v>5</v>
      </c>
      <c r="D18" s="11">
        <v>0</v>
      </c>
      <c r="E18" s="1">
        <v>0</v>
      </c>
      <c r="F18" s="7">
        <v>0</v>
      </c>
      <c r="G18" s="1">
        <v>0</v>
      </c>
      <c r="H18" s="7">
        <v>0</v>
      </c>
      <c r="I18" s="1">
        <v>0</v>
      </c>
      <c r="J18" s="7">
        <v>200</v>
      </c>
      <c r="K18" s="1" t="s">
        <v>37</v>
      </c>
      <c r="L18" s="1">
        <v>1</v>
      </c>
      <c r="M18" s="1" t="s">
        <v>62</v>
      </c>
    </row>
    <row r="19" spans="1:13" x14ac:dyDescent="0.25">
      <c r="A19" s="6">
        <v>45862</v>
      </c>
      <c r="B19" s="9">
        <v>360</v>
      </c>
      <c r="C19" s="1" t="s">
        <v>5</v>
      </c>
      <c r="D19" s="11">
        <v>100</v>
      </c>
      <c r="E19" s="1" t="s">
        <v>38</v>
      </c>
      <c r="F19" s="7">
        <v>0</v>
      </c>
      <c r="G19" s="1">
        <v>0</v>
      </c>
      <c r="H19" s="7">
        <v>0</v>
      </c>
      <c r="I19" s="1">
        <v>0</v>
      </c>
      <c r="J19" s="7">
        <v>0</v>
      </c>
      <c r="K19" s="1">
        <v>0</v>
      </c>
      <c r="L19" s="1">
        <v>2</v>
      </c>
      <c r="M19" s="1" t="s">
        <v>62</v>
      </c>
    </row>
    <row r="20" spans="1:13" x14ac:dyDescent="0.25">
      <c r="A20" s="6">
        <v>45862</v>
      </c>
      <c r="B20" s="9">
        <v>650</v>
      </c>
      <c r="C20" s="1" t="s">
        <v>5</v>
      </c>
      <c r="D20" s="11">
        <v>0</v>
      </c>
      <c r="E20" s="1">
        <v>0</v>
      </c>
      <c r="F20" s="7">
        <v>0</v>
      </c>
      <c r="G20" s="1">
        <v>0</v>
      </c>
      <c r="H20" s="7">
        <v>0</v>
      </c>
      <c r="I20" s="1">
        <v>0</v>
      </c>
      <c r="J20" s="7">
        <v>0</v>
      </c>
      <c r="K20" s="1">
        <v>0</v>
      </c>
      <c r="L20" s="1">
        <v>1</v>
      </c>
      <c r="M20" s="1" t="s">
        <v>62</v>
      </c>
    </row>
    <row r="21" spans="1:13" x14ac:dyDescent="0.25">
      <c r="A21" s="6">
        <v>45863</v>
      </c>
      <c r="B21" s="9">
        <v>760</v>
      </c>
      <c r="C21" s="1" t="s">
        <v>72</v>
      </c>
      <c r="D21" s="11">
        <v>0</v>
      </c>
      <c r="E21" s="1">
        <v>0</v>
      </c>
      <c r="F21" s="7">
        <v>0</v>
      </c>
      <c r="G21" s="1">
        <v>0</v>
      </c>
      <c r="H21" s="7">
        <v>0</v>
      </c>
      <c r="I21" s="1">
        <v>0</v>
      </c>
      <c r="J21" s="7">
        <v>100</v>
      </c>
      <c r="K21" s="1" t="s">
        <v>28</v>
      </c>
      <c r="L21" s="1">
        <v>2</v>
      </c>
      <c r="M21" s="1" t="s">
        <v>62</v>
      </c>
    </row>
    <row r="22" spans="1:13" x14ac:dyDescent="0.25">
      <c r="A22" s="6">
        <v>45863</v>
      </c>
      <c r="B22" s="9">
        <v>650</v>
      </c>
      <c r="C22" s="1" t="s">
        <v>5</v>
      </c>
      <c r="D22" s="11">
        <v>0</v>
      </c>
      <c r="E22" s="1">
        <v>0</v>
      </c>
      <c r="F22" s="7">
        <v>0</v>
      </c>
      <c r="G22" s="1">
        <v>0</v>
      </c>
      <c r="H22" s="7">
        <v>0</v>
      </c>
      <c r="I22" s="1">
        <v>0</v>
      </c>
      <c r="J22" s="7">
        <v>0</v>
      </c>
      <c r="K22" s="1">
        <v>0</v>
      </c>
      <c r="L22" s="1">
        <v>3</v>
      </c>
      <c r="M22" s="1" t="s">
        <v>62</v>
      </c>
    </row>
    <row r="23" spans="1:13" x14ac:dyDescent="0.25">
      <c r="A23" s="6">
        <v>45863</v>
      </c>
      <c r="B23" s="10">
        <v>810</v>
      </c>
      <c r="C23" s="4" t="s">
        <v>5</v>
      </c>
      <c r="D23" s="12">
        <v>0</v>
      </c>
      <c r="E23" s="4">
        <v>0</v>
      </c>
      <c r="F23" s="8">
        <v>600</v>
      </c>
      <c r="G23" s="4" t="s">
        <v>29</v>
      </c>
      <c r="H23" s="8">
        <v>0</v>
      </c>
      <c r="I23" s="4">
        <v>0</v>
      </c>
      <c r="J23" s="8">
        <v>0</v>
      </c>
      <c r="K23" s="4">
        <v>0</v>
      </c>
      <c r="L23" s="4">
        <v>4</v>
      </c>
      <c r="M23" s="1" t="s">
        <v>19</v>
      </c>
    </row>
    <row r="24" spans="1:13" x14ac:dyDescent="0.25">
      <c r="A24" s="6">
        <v>45863</v>
      </c>
      <c r="B24" s="9">
        <v>830</v>
      </c>
      <c r="C24" s="1" t="s">
        <v>5</v>
      </c>
      <c r="D24" s="11">
        <v>0</v>
      </c>
      <c r="E24" s="1">
        <v>0</v>
      </c>
      <c r="F24" s="7">
        <v>0</v>
      </c>
      <c r="G24" s="1">
        <v>0</v>
      </c>
      <c r="H24" s="7">
        <v>0</v>
      </c>
      <c r="I24" s="1">
        <v>0</v>
      </c>
      <c r="J24" s="7">
        <v>300</v>
      </c>
      <c r="K24" s="1" t="s">
        <v>30</v>
      </c>
      <c r="L24" s="1">
        <v>1</v>
      </c>
      <c r="M24" s="1" t="s">
        <v>62</v>
      </c>
    </row>
    <row r="25" spans="1:13" x14ac:dyDescent="0.25">
      <c r="A25" s="6">
        <v>45864</v>
      </c>
      <c r="B25" s="9">
        <v>310</v>
      </c>
      <c r="C25" s="1" t="s">
        <v>72</v>
      </c>
      <c r="D25" s="11">
        <v>0</v>
      </c>
      <c r="E25" s="1">
        <v>0</v>
      </c>
      <c r="F25" s="7">
        <v>0</v>
      </c>
      <c r="G25" s="1">
        <v>0</v>
      </c>
      <c r="H25" s="7">
        <v>0</v>
      </c>
      <c r="I25" s="1">
        <v>0</v>
      </c>
      <c r="J25" s="7">
        <v>500</v>
      </c>
      <c r="K25" s="2" t="s">
        <v>26</v>
      </c>
      <c r="L25" s="1">
        <v>1</v>
      </c>
      <c r="M25" s="1" t="s">
        <v>62</v>
      </c>
    </row>
    <row r="26" spans="1:13" x14ac:dyDescent="0.25">
      <c r="A26" s="6">
        <v>45864</v>
      </c>
      <c r="B26" s="9">
        <v>710</v>
      </c>
      <c r="C26" s="1" t="s">
        <v>5</v>
      </c>
      <c r="D26" s="11">
        <v>0</v>
      </c>
      <c r="E26" s="1">
        <v>0</v>
      </c>
      <c r="F26" s="7">
        <v>0</v>
      </c>
      <c r="G26" s="1">
        <v>0</v>
      </c>
      <c r="H26" s="7">
        <v>0</v>
      </c>
      <c r="I26" s="1">
        <v>0</v>
      </c>
      <c r="J26" s="7">
        <v>0</v>
      </c>
      <c r="K26" s="2">
        <v>0</v>
      </c>
      <c r="L26" s="1">
        <v>2</v>
      </c>
      <c r="M26" s="1" t="s">
        <v>62</v>
      </c>
    </row>
    <row r="27" spans="1:13" x14ac:dyDescent="0.25">
      <c r="A27" s="6">
        <v>45864</v>
      </c>
      <c r="B27" s="9">
        <v>650</v>
      </c>
      <c r="C27" s="1" t="s">
        <v>5</v>
      </c>
      <c r="D27" s="11">
        <v>0</v>
      </c>
      <c r="E27" s="1">
        <v>0</v>
      </c>
      <c r="F27" s="7">
        <v>0</v>
      </c>
      <c r="G27" s="1">
        <v>0</v>
      </c>
      <c r="H27" s="7">
        <v>0</v>
      </c>
      <c r="I27" s="1">
        <v>0</v>
      </c>
      <c r="J27" s="7">
        <v>0</v>
      </c>
      <c r="K27" s="1">
        <v>0</v>
      </c>
      <c r="L27" s="1">
        <v>3</v>
      </c>
      <c r="M27" s="1" t="s">
        <v>62</v>
      </c>
    </row>
    <row r="28" spans="1:13" x14ac:dyDescent="0.25">
      <c r="A28" s="6">
        <v>45866</v>
      </c>
      <c r="B28" s="9">
        <v>380</v>
      </c>
      <c r="C28" s="1" t="s">
        <v>72</v>
      </c>
      <c r="D28" s="11">
        <v>0</v>
      </c>
      <c r="E28" s="1">
        <v>0</v>
      </c>
      <c r="F28" s="7">
        <v>0</v>
      </c>
      <c r="G28" s="1">
        <v>0</v>
      </c>
      <c r="H28" s="7">
        <v>0</v>
      </c>
      <c r="I28" s="1">
        <v>0</v>
      </c>
      <c r="J28" s="7">
        <v>100</v>
      </c>
      <c r="K28" s="2" t="s">
        <v>20</v>
      </c>
      <c r="L28" s="1">
        <v>2</v>
      </c>
      <c r="M28" s="1" t="s">
        <v>62</v>
      </c>
    </row>
    <row r="29" spans="1:13" x14ac:dyDescent="0.25">
      <c r="A29" s="6">
        <v>45866</v>
      </c>
      <c r="B29" s="9">
        <v>510</v>
      </c>
      <c r="C29" s="1" t="s">
        <v>5</v>
      </c>
      <c r="D29" s="11">
        <v>0</v>
      </c>
      <c r="E29" s="1">
        <v>0</v>
      </c>
      <c r="F29" s="7">
        <v>0</v>
      </c>
      <c r="G29" s="1">
        <v>0</v>
      </c>
      <c r="H29" s="7">
        <v>0</v>
      </c>
      <c r="I29" s="1">
        <v>0</v>
      </c>
      <c r="J29" s="7">
        <v>0</v>
      </c>
      <c r="K29" s="2">
        <v>0</v>
      </c>
      <c r="L29" s="1">
        <v>1</v>
      </c>
      <c r="M29" s="1" t="str">
        <f>$M$28</f>
        <v>Aug</v>
      </c>
    </row>
    <row r="30" spans="1:13" x14ac:dyDescent="0.25">
      <c r="A30" s="6">
        <v>45866</v>
      </c>
      <c r="B30" s="9">
        <v>300</v>
      </c>
      <c r="C30" s="1" t="s">
        <v>5</v>
      </c>
      <c r="D30" s="11">
        <v>0</v>
      </c>
      <c r="E30" s="1">
        <v>0</v>
      </c>
      <c r="F30" s="7">
        <v>0</v>
      </c>
      <c r="G30" s="1">
        <v>0</v>
      </c>
      <c r="H30" s="7">
        <v>0</v>
      </c>
      <c r="I30" s="1">
        <v>0</v>
      </c>
      <c r="J30" s="7">
        <v>0</v>
      </c>
      <c r="K30" s="2">
        <v>0</v>
      </c>
      <c r="L30" s="1">
        <v>3</v>
      </c>
      <c r="M30" s="1" t="str">
        <f t="shared" ref="M30:M63" si="0">$M$28</f>
        <v>Aug</v>
      </c>
    </row>
    <row r="31" spans="1:13" x14ac:dyDescent="0.25">
      <c r="A31" s="6">
        <v>45867</v>
      </c>
      <c r="B31" s="9">
        <v>660</v>
      </c>
      <c r="C31" s="1" t="s">
        <v>72</v>
      </c>
      <c r="D31" s="11">
        <v>0</v>
      </c>
      <c r="E31" s="1">
        <v>0</v>
      </c>
      <c r="F31" s="7">
        <v>0</v>
      </c>
      <c r="G31" s="1">
        <v>0</v>
      </c>
      <c r="H31" s="7">
        <v>0</v>
      </c>
      <c r="I31" s="1">
        <v>0</v>
      </c>
      <c r="J31" s="7">
        <v>100</v>
      </c>
      <c r="K31" s="2" t="s">
        <v>15</v>
      </c>
      <c r="L31" s="1">
        <v>2</v>
      </c>
      <c r="M31" s="1" t="str">
        <f t="shared" si="0"/>
        <v>Aug</v>
      </c>
    </row>
    <row r="32" spans="1:13" x14ac:dyDescent="0.25">
      <c r="A32" s="6">
        <v>45867</v>
      </c>
      <c r="B32" s="9">
        <v>600</v>
      </c>
      <c r="C32" s="1" t="s">
        <v>5</v>
      </c>
      <c r="D32" s="11">
        <v>400</v>
      </c>
      <c r="E32" s="1" t="s">
        <v>16</v>
      </c>
      <c r="F32" s="7">
        <v>0</v>
      </c>
      <c r="G32" s="1">
        <v>0</v>
      </c>
      <c r="H32" s="7">
        <v>0</v>
      </c>
      <c r="I32" s="1">
        <v>0</v>
      </c>
      <c r="J32" s="7">
        <v>0</v>
      </c>
      <c r="K32" s="2">
        <v>0</v>
      </c>
      <c r="L32" s="1">
        <v>3</v>
      </c>
      <c r="M32" s="1" t="str">
        <f t="shared" si="0"/>
        <v>Aug</v>
      </c>
    </row>
    <row r="33" spans="1:13" x14ac:dyDescent="0.25">
      <c r="A33" s="6">
        <v>45867</v>
      </c>
      <c r="B33" s="9">
        <v>600</v>
      </c>
      <c r="C33" s="1" t="s">
        <v>5</v>
      </c>
      <c r="D33" s="11">
        <v>0</v>
      </c>
      <c r="E33" s="1">
        <v>0</v>
      </c>
      <c r="F33" s="7">
        <v>0</v>
      </c>
      <c r="G33" s="1">
        <v>0</v>
      </c>
      <c r="H33" s="7">
        <v>0</v>
      </c>
      <c r="I33" s="1">
        <v>0</v>
      </c>
      <c r="J33" s="7">
        <v>0</v>
      </c>
      <c r="K33" s="2">
        <v>0</v>
      </c>
      <c r="L33" s="1">
        <v>1</v>
      </c>
      <c r="M33" s="1" t="str">
        <f t="shared" si="0"/>
        <v>Aug</v>
      </c>
    </row>
    <row r="34" spans="1:13" x14ac:dyDescent="0.25">
      <c r="A34" s="6">
        <v>45868</v>
      </c>
      <c r="B34" s="9">
        <v>120</v>
      </c>
      <c r="C34" s="1" t="s">
        <v>5</v>
      </c>
      <c r="D34" s="11">
        <v>0</v>
      </c>
      <c r="E34" s="1">
        <v>0</v>
      </c>
      <c r="F34" s="7">
        <v>0</v>
      </c>
      <c r="G34" s="1">
        <v>0</v>
      </c>
      <c r="H34" s="7">
        <v>0</v>
      </c>
      <c r="I34" s="1">
        <v>0</v>
      </c>
      <c r="J34" s="7">
        <v>200</v>
      </c>
      <c r="K34" s="2" t="s">
        <v>7</v>
      </c>
      <c r="L34" s="1">
        <v>2</v>
      </c>
      <c r="M34" s="1" t="str">
        <f t="shared" si="0"/>
        <v>Aug</v>
      </c>
    </row>
    <row r="35" spans="1:13" x14ac:dyDescent="0.25">
      <c r="A35" s="6">
        <v>45868</v>
      </c>
      <c r="B35" s="9">
        <v>600</v>
      </c>
      <c r="C35" s="1" t="s">
        <v>72</v>
      </c>
      <c r="D35" s="11">
        <v>0</v>
      </c>
      <c r="E35" s="1">
        <v>0</v>
      </c>
      <c r="F35" s="7">
        <v>0</v>
      </c>
      <c r="G35" s="1">
        <v>0</v>
      </c>
      <c r="H35" s="7">
        <v>0</v>
      </c>
      <c r="I35" s="1">
        <v>0</v>
      </c>
      <c r="J35" s="7">
        <v>0</v>
      </c>
      <c r="K35" s="2"/>
      <c r="L35" s="1">
        <v>4</v>
      </c>
      <c r="M35" s="1" t="str">
        <f t="shared" si="0"/>
        <v>Aug</v>
      </c>
    </row>
    <row r="36" spans="1:13" x14ac:dyDescent="0.25">
      <c r="A36" s="6">
        <v>45868</v>
      </c>
      <c r="B36" s="9">
        <v>250</v>
      </c>
      <c r="C36" s="1" t="s">
        <v>72</v>
      </c>
      <c r="D36" s="11">
        <v>0</v>
      </c>
      <c r="E36" s="1">
        <v>0</v>
      </c>
      <c r="F36" s="7">
        <v>0</v>
      </c>
      <c r="G36" s="1">
        <v>0</v>
      </c>
      <c r="H36" s="7">
        <v>0</v>
      </c>
      <c r="I36" s="1">
        <v>0</v>
      </c>
      <c r="J36" s="7">
        <v>200</v>
      </c>
      <c r="K36" s="2" t="s">
        <v>9</v>
      </c>
      <c r="L36" s="1">
        <v>1</v>
      </c>
      <c r="M36" s="1" t="str">
        <f t="shared" si="0"/>
        <v>Aug</v>
      </c>
    </row>
    <row r="37" spans="1:13" x14ac:dyDescent="0.25">
      <c r="A37" s="6">
        <v>45868</v>
      </c>
      <c r="B37" s="9">
        <v>250</v>
      </c>
      <c r="C37" s="1" t="s">
        <v>5</v>
      </c>
      <c r="D37" s="11">
        <v>0</v>
      </c>
      <c r="E37" s="1">
        <v>0</v>
      </c>
      <c r="F37" s="7">
        <v>0</v>
      </c>
      <c r="G37" s="1">
        <v>0</v>
      </c>
      <c r="H37" s="7">
        <v>0</v>
      </c>
      <c r="I37" s="1">
        <v>0</v>
      </c>
      <c r="J37" s="7">
        <v>0</v>
      </c>
      <c r="K37" s="2"/>
      <c r="L37" s="1">
        <v>3</v>
      </c>
      <c r="M37" s="1" t="str">
        <f t="shared" si="0"/>
        <v>Aug</v>
      </c>
    </row>
    <row r="38" spans="1:13" ht="30" x14ac:dyDescent="0.25">
      <c r="A38" s="6">
        <v>45869</v>
      </c>
      <c r="B38" s="9">
        <v>400</v>
      </c>
      <c r="C38" s="1" t="s">
        <v>5</v>
      </c>
      <c r="D38" s="11">
        <v>0</v>
      </c>
      <c r="E38" s="1">
        <v>0</v>
      </c>
      <c r="F38" s="7">
        <v>600</v>
      </c>
      <c r="G38" s="1" t="s">
        <v>12</v>
      </c>
      <c r="H38" s="7">
        <v>0</v>
      </c>
      <c r="I38" s="1">
        <v>0</v>
      </c>
      <c r="J38" s="7">
        <v>600</v>
      </c>
      <c r="K38" s="2" t="s">
        <v>13</v>
      </c>
      <c r="L38" s="1">
        <v>2</v>
      </c>
      <c r="M38" s="1" t="str">
        <f t="shared" si="0"/>
        <v>Aug</v>
      </c>
    </row>
    <row r="39" spans="1:13" x14ac:dyDescent="0.25">
      <c r="A39" s="6">
        <v>45869</v>
      </c>
      <c r="B39" s="9">
        <v>270</v>
      </c>
      <c r="C39" s="1" t="s">
        <v>5</v>
      </c>
      <c r="D39" s="11">
        <v>0</v>
      </c>
      <c r="E39" s="1">
        <v>0</v>
      </c>
      <c r="F39" s="7">
        <v>0</v>
      </c>
      <c r="G39" s="1">
        <v>0</v>
      </c>
      <c r="H39" s="7">
        <v>0</v>
      </c>
      <c r="I39" s="1">
        <v>0</v>
      </c>
      <c r="J39" s="7">
        <v>400</v>
      </c>
      <c r="K39" s="2" t="s">
        <v>14</v>
      </c>
      <c r="L39" s="1">
        <v>4</v>
      </c>
      <c r="M39" s="1" t="str">
        <f t="shared" si="0"/>
        <v>Aug</v>
      </c>
    </row>
    <row r="40" spans="1:13" x14ac:dyDescent="0.25">
      <c r="A40" s="6">
        <v>45869</v>
      </c>
      <c r="B40" s="9">
        <v>220</v>
      </c>
      <c r="C40" s="1" t="s">
        <v>72</v>
      </c>
      <c r="D40" s="11">
        <v>0</v>
      </c>
      <c r="E40" s="1">
        <v>0</v>
      </c>
      <c r="F40" s="7">
        <v>0</v>
      </c>
      <c r="G40" s="1">
        <v>0</v>
      </c>
      <c r="H40" s="7">
        <v>0</v>
      </c>
      <c r="I40" s="1">
        <v>0</v>
      </c>
      <c r="J40" s="7">
        <v>200</v>
      </c>
      <c r="K40" s="2" t="s">
        <v>50</v>
      </c>
      <c r="L40" s="1">
        <v>3</v>
      </c>
      <c r="M40" s="1" t="str">
        <f t="shared" si="0"/>
        <v>Aug</v>
      </c>
    </row>
    <row r="41" spans="1:13" x14ac:dyDescent="0.25">
      <c r="A41" s="6">
        <v>45869</v>
      </c>
      <c r="B41" s="9">
        <v>250</v>
      </c>
      <c r="C41" s="1" t="s">
        <v>72</v>
      </c>
      <c r="D41" s="11">
        <v>0</v>
      </c>
      <c r="E41" s="1">
        <v>0</v>
      </c>
      <c r="F41" s="7">
        <v>0</v>
      </c>
      <c r="G41" s="1">
        <v>0</v>
      </c>
      <c r="H41" s="7">
        <v>0</v>
      </c>
      <c r="I41" s="1">
        <v>0</v>
      </c>
      <c r="J41" s="7">
        <v>200</v>
      </c>
      <c r="K41" s="2" t="s">
        <v>17</v>
      </c>
      <c r="L41" s="1">
        <v>1</v>
      </c>
      <c r="M41" s="1" t="str">
        <f t="shared" si="0"/>
        <v>Aug</v>
      </c>
    </row>
    <row r="42" spans="1:13" x14ac:dyDescent="0.25">
      <c r="A42" s="6">
        <v>45869</v>
      </c>
      <c r="B42" s="9">
        <v>500</v>
      </c>
      <c r="C42" s="1" t="s">
        <v>5</v>
      </c>
      <c r="D42" s="11">
        <v>0</v>
      </c>
      <c r="E42" s="1">
        <v>0</v>
      </c>
      <c r="F42" s="7">
        <v>0</v>
      </c>
      <c r="G42" s="1">
        <v>0</v>
      </c>
      <c r="H42" s="7">
        <v>0</v>
      </c>
      <c r="I42" s="1">
        <v>0</v>
      </c>
      <c r="J42" s="7">
        <v>500</v>
      </c>
      <c r="K42" s="1" t="s">
        <v>39</v>
      </c>
      <c r="L42" s="1">
        <v>7</v>
      </c>
      <c r="M42" s="1" t="str">
        <f t="shared" si="0"/>
        <v>Aug</v>
      </c>
    </row>
    <row r="43" spans="1:13" x14ac:dyDescent="0.25">
      <c r="A43" s="6">
        <v>45869</v>
      </c>
      <c r="B43" s="9">
        <v>500</v>
      </c>
      <c r="C43" s="1" t="s">
        <v>5</v>
      </c>
      <c r="D43" s="11">
        <v>0</v>
      </c>
      <c r="E43" s="1">
        <v>0</v>
      </c>
      <c r="F43" s="7">
        <v>0</v>
      </c>
      <c r="G43" s="1">
        <v>0</v>
      </c>
      <c r="H43" s="7">
        <v>0</v>
      </c>
      <c r="I43" s="1">
        <v>0</v>
      </c>
      <c r="J43" s="7">
        <v>0</v>
      </c>
      <c r="K43" s="1">
        <v>0</v>
      </c>
      <c r="L43" s="1">
        <v>5</v>
      </c>
      <c r="M43" s="1" t="str">
        <f t="shared" si="0"/>
        <v>Aug</v>
      </c>
    </row>
    <row r="44" spans="1:13" x14ac:dyDescent="0.25">
      <c r="A44" s="6">
        <v>45869</v>
      </c>
      <c r="B44" s="9">
        <v>120</v>
      </c>
      <c r="C44" s="1" t="s">
        <v>72</v>
      </c>
      <c r="D44" s="11">
        <v>175</v>
      </c>
      <c r="E44" s="1" t="s">
        <v>40</v>
      </c>
      <c r="F44" s="7">
        <v>600</v>
      </c>
      <c r="G44" s="1" t="s">
        <v>41</v>
      </c>
      <c r="H44" s="7">
        <v>0</v>
      </c>
      <c r="I44" s="1">
        <v>0</v>
      </c>
      <c r="J44" s="7">
        <v>300</v>
      </c>
      <c r="K44" s="1" t="s">
        <v>42</v>
      </c>
      <c r="L44" s="1">
        <v>8</v>
      </c>
      <c r="M44" s="1" t="str">
        <f t="shared" si="0"/>
        <v>Aug</v>
      </c>
    </row>
    <row r="45" spans="1:13" x14ac:dyDescent="0.25">
      <c r="A45" s="6">
        <v>45869</v>
      </c>
      <c r="B45" s="9">
        <v>120</v>
      </c>
      <c r="C45" s="1" t="s">
        <v>72</v>
      </c>
      <c r="D45" s="11">
        <v>0</v>
      </c>
      <c r="E45" s="1">
        <v>0</v>
      </c>
      <c r="F45" s="7">
        <v>0</v>
      </c>
      <c r="G45" s="1">
        <v>0</v>
      </c>
      <c r="H45" s="7">
        <v>0</v>
      </c>
      <c r="I45" s="1">
        <v>0</v>
      </c>
      <c r="J45" s="7">
        <v>700</v>
      </c>
      <c r="K45" s="1" t="s">
        <v>43</v>
      </c>
      <c r="L45" s="1">
        <v>6</v>
      </c>
      <c r="M45" s="1" t="str">
        <f t="shared" si="0"/>
        <v>Aug</v>
      </c>
    </row>
    <row r="46" spans="1:13" x14ac:dyDescent="0.25">
      <c r="A46" s="6">
        <v>45870</v>
      </c>
      <c r="B46" s="9">
        <v>500</v>
      </c>
      <c r="C46" s="1" t="s">
        <v>72</v>
      </c>
      <c r="D46" s="11">
        <v>206</v>
      </c>
      <c r="E46" s="1" t="s">
        <v>44</v>
      </c>
      <c r="F46" s="7">
        <v>0</v>
      </c>
      <c r="G46" s="1">
        <v>0</v>
      </c>
      <c r="H46" s="7">
        <v>0</v>
      </c>
      <c r="I46" s="1">
        <v>0</v>
      </c>
      <c r="J46" s="7">
        <v>200</v>
      </c>
      <c r="K46" s="1" t="s">
        <v>45</v>
      </c>
      <c r="L46" s="1">
        <v>8</v>
      </c>
      <c r="M46" s="1" t="str">
        <f t="shared" si="0"/>
        <v>Aug</v>
      </c>
    </row>
    <row r="47" spans="1:13" x14ac:dyDescent="0.25">
      <c r="A47" s="6">
        <v>45870</v>
      </c>
      <c r="B47" s="9">
        <v>300</v>
      </c>
      <c r="C47" s="1" t="s">
        <v>72</v>
      </c>
      <c r="D47" s="11">
        <v>0</v>
      </c>
      <c r="E47" s="1">
        <v>0</v>
      </c>
      <c r="F47" s="7">
        <v>0</v>
      </c>
      <c r="G47" s="1">
        <v>0</v>
      </c>
      <c r="H47" s="7">
        <v>0</v>
      </c>
      <c r="I47" s="1">
        <v>0</v>
      </c>
      <c r="J47" s="7">
        <v>0</v>
      </c>
      <c r="K47" s="1">
        <v>0</v>
      </c>
      <c r="L47" s="1">
        <v>2</v>
      </c>
      <c r="M47" s="1" t="str">
        <f t="shared" si="0"/>
        <v>Aug</v>
      </c>
    </row>
    <row r="48" spans="1:13" x14ac:dyDescent="0.25">
      <c r="A48" s="6">
        <v>45870</v>
      </c>
      <c r="B48" s="9">
        <v>120</v>
      </c>
      <c r="C48" s="1" t="s">
        <v>72</v>
      </c>
      <c r="D48" s="11">
        <v>0</v>
      </c>
      <c r="E48" s="1">
        <v>0</v>
      </c>
      <c r="F48" s="7">
        <v>0</v>
      </c>
      <c r="G48" s="1">
        <v>0</v>
      </c>
      <c r="H48" s="7">
        <v>0</v>
      </c>
      <c r="I48" s="1"/>
      <c r="J48" s="7">
        <v>200</v>
      </c>
      <c r="K48" s="1" t="s">
        <v>46</v>
      </c>
      <c r="L48" s="1">
        <v>6</v>
      </c>
      <c r="M48" s="1" t="str">
        <f t="shared" si="0"/>
        <v>Aug</v>
      </c>
    </row>
    <row r="49" spans="1:13" x14ac:dyDescent="0.25">
      <c r="A49" s="6">
        <v>45870</v>
      </c>
      <c r="B49" s="9">
        <v>400</v>
      </c>
      <c r="C49" s="1" t="s">
        <v>72</v>
      </c>
      <c r="D49" s="11">
        <v>0</v>
      </c>
      <c r="E49" s="1">
        <v>0</v>
      </c>
      <c r="F49" s="7">
        <v>0</v>
      </c>
      <c r="G49" s="1">
        <v>0</v>
      </c>
      <c r="H49" s="7">
        <v>0</v>
      </c>
      <c r="I49" s="1">
        <v>0</v>
      </c>
      <c r="J49" s="7">
        <v>200</v>
      </c>
      <c r="K49" s="1" t="s">
        <v>47</v>
      </c>
      <c r="L49" s="1">
        <v>1</v>
      </c>
      <c r="M49" s="1" t="str">
        <f t="shared" si="0"/>
        <v>Aug</v>
      </c>
    </row>
    <row r="50" spans="1:13" x14ac:dyDescent="0.25">
      <c r="A50" s="6">
        <v>45870</v>
      </c>
      <c r="B50" s="9">
        <v>500</v>
      </c>
      <c r="C50" s="1" t="s">
        <v>5</v>
      </c>
      <c r="D50" s="11">
        <v>0</v>
      </c>
      <c r="E50" s="1">
        <v>0</v>
      </c>
      <c r="F50" s="7">
        <v>0</v>
      </c>
      <c r="G50" s="1">
        <v>0</v>
      </c>
      <c r="H50" s="7">
        <v>0</v>
      </c>
      <c r="I50" s="1">
        <v>0</v>
      </c>
      <c r="J50" s="7">
        <v>0</v>
      </c>
      <c r="K50" s="1">
        <v>0</v>
      </c>
      <c r="L50" s="1">
        <v>7</v>
      </c>
      <c r="M50" s="1" t="str">
        <f t="shared" si="0"/>
        <v>Aug</v>
      </c>
    </row>
    <row r="51" spans="1:13" x14ac:dyDescent="0.25">
      <c r="A51" s="6">
        <v>45870</v>
      </c>
      <c r="B51" s="9">
        <v>200</v>
      </c>
      <c r="C51" s="1" t="s">
        <v>5</v>
      </c>
      <c r="D51" s="11">
        <v>0</v>
      </c>
      <c r="E51" s="1">
        <v>0</v>
      </c>
      <c r="F51" s="7">
        <v>0</v>
      </c>
      <c r="G51" s="1">
        <v>0</v>
      </c>
      <c r="H51" s="7">
        <v>0</v>
      </c>
      <c r="I51" s="1">
        <v>0</v>
      </c>
      <c r="J51" s="7">
        <v>200</v>
      </c>
      <c r="K51" s="1" t="s">
        <v>48</v>
      </c>
      <c r="L51" s="1">
        <v>5</v>
      </c>
      <c r="M51" s="1" t="str">
        <f t="shared" si="0"/>
        <v>Aug</v>
      </c>
    </row>
    <row r="52" spans="1:13" x14ac:dyDescent="0.25">
      <c r="A52" s="6">
        <v>45870</v>
      </c>
      <c r="B52" s="9">
        <v>250</v>
      </c>
      <c r="C52" s="1" t="s">
        <v>5</v>
      </c>
      <c r="D52" s="11">
        <v>0</v>
      </c>
      <c r="E52" s="1">
        <v>0</v>
      </c>
      <c r="F52" s="7">
        <v>0</v>
      </c>
      <c r="G52" s="1">
        <v>0</v>
      </c>
      <c r="H52" s="7">
        <v>0</v>
      </c>
      <c r="I52" s="1">
        <v>0</v>
      </c>
      <c r="J52" s="7">
        <v>0</v>
      </c>
      <c r="K52" s="1">
        <v>0</v>
      </c>
      <c r="L52" s="1">
        <v>3</v>
      </c>
      <c r="M52" s="1" t="str">
        <f t="shared" si="0"/>
        <v>Aug</v>
      </c>
    </row>
    <row r="53" spans="1:13" ht="45" x14ac:dyDescent="0.25">
      <c r="A53" s="6">
        <v>45871</v>
      </c>
      <c r="B53" s="9">
        <v>360</v>
      </c>
      <c r="C53" s="1" t="s">
        <v>72</v>
      </c>
      <c r="D53" s="11">
        <v>0</v>
      </c>
      <c r="E53" s="1">
        <v>0</v>
      </c>
      <c r="F53" s="7">
        <v>500</v>
      </c>
      <c r="G53" s="1" t="s">
        <v>51</v>
      </c>
      <c r="H53" s="7">
        <v>300</v>
      </c>
      <c r="I53" s="2" t="s">
        <v>52</v>
      </c>
      <c r="J53" s="7">
        <v>200</v>
      </c>
      <c r="K53" s="1" t="s">
        <v>53</v>
      </c>
      <c r="L53" s="1">
        <v>2</v>
      </c>
      <c r="M53" s="1" t="str">
        <f t="shared" si="0"/>
        <v>Aug</v>
      </c>
    </row>
    <row r="54" spans="1:13" x14ac:dyDescent="0.25">
      <c r="A54" s="6">
        <v>45871</v>
      </c>
      <c r="B54" s="9">
        <v>350</v>
      </c>
      <c r="C54" s="1" t="s">
        <v>5</v>
      </c>
      <c r="D54" s="11">
        <v>0</v>
      </c>
      <c r="E54" s="1">
        <v>0</v>
      </c>
      <c r="F54" s="7">
        <v>0</v>
      </c>
      <c r="G54" s="1">
        <v>0</v>
      </c>
      <c r="H54" s="7">
        <v>140</v>
      </c>
      <c r="I54" s="1" t="s">
        <v>54</v>
      </c>
      <c r="J54" s="7">
        <v>200</v>
      </c>
      <c r="K54" s="1" t="s">
        <v>55</v>
      </c>
      <c r="L54" s="1">
        <v>1</v>
      </c>
      <c r="M54" s="1" t="str">
        <f t="shared" si="0"/>
        <v>Aug</v>
      </c>
    </row>
    <row r="55" spans="1:13" x14ac:dyDescent="0.25">
      <c r="A55" s="6">
        <v>45871</v>
      </c>
      <c r="B55" s="9">
        <v>100</v>
      </c>
      <c r="C55" s="1" t="s">
        <v>5</v>
      </c>
      <c r="D55" s="11">
        <v>0</v>
      </c>
      <c r="E55" s="1">
        <v>0</v>
      </c>
      <c r="F55" s="7">
        <v>0</v>
      </c>
      <c r="G55" s="1">
        <v>0</v>
      </c>
      <c r="H55" s="7">
        <v>60</v>
      </c>
      <c r="I55" s="1" t="s">
        <v>56</v>
      </c>
      <c r="J55" s="7">
        <v>0</v>
      </c>
      <c r="K55" s="1">
        <v>0</v>
      </c>
      <c r="L55" s="1">
        <v>3</v>
      </c>
      <c r="M55" s="1" t="str">
        <f t="shared" si="0"/>
        <v>Aug</v>
      </c>
    </row>
    <row r="56" spans="1:13" x14ac:dyDescent="0.25">
      <c r="A56" s="6">
        <v>45873</v>
      </c>
      <c r="B56" s="15">
        <v>280</v>
      </c>
      <c r="C56" s="16" t="s">
        <v>72</v>
      </c>
      <c r="D56" s="17">
        <v>0</v>
      </c>
      <c r="E56" s="11">
        <v>0</v>
      </c>
      <c r="F56" s="7">
        <v>1000</v>
      </c>
      <c r="G56" s="1" t="s">
        <v>57</v>
      </c>
      <c r="H56" s="7">
        <v>720</v>
      </c>
      <c r="I56" s="1" t="s">
        <v>54</v>
      </c>
      <c r="J56" s="7">
        <v>0</v>
      </c>
      <c r="K56" s="1">
        <v>0</v>
      </c>
      <c r="L56" s="1">
        <v>2</v>
      </c>
      <c r="M56" s="1" t="str">
        <f t="shared" si="0"/>
        <v>Aug</v>
      </c>
    </row>
    <row r="57" spans="1:13" x14ac:dyDescent="0.25">
      <c r="A57" s="6">
        <v>45873</v>
      </c>
      <c r="B57" s="15">
        <v>500</v>
      </c>
      <c r="C57" s="16" t="s">
        <v>5</v>
      </c>
      <c r="D57" s="17">
        <v>0</v>
      </c>
      <c r="E57" s="11">
        <v>0</v>
      </c>
      <c r="F57" s="7">
        <v>0</v>
      </c>
      <c r="G57" s="1">
        <v>0</v>
      </c>
      <c r="H57" s="7">
        <v>240</v>
      </c>
      <c r="I57" s="1" t="s">
        <v>58</v>
      </c>
      <c r="J57" s="7">
        <v>400</v>
      </c>
      <c r="K57" s="1" t="s">
        <v>59</v>
      </c>
      <c r="L57" s="1">
        <v>4</v>
      </c>
      <c r="M57" s="1" t="str">
        <f t="shared" si="0"/>
        <v>Aug</v>
      </c>
    </row>
    <row r="58" spans="1:13" x14ac:dyDescent="0.25">
      <c r="A58" s="6">
        <v>45873</v>
      </c>
      <c r="B58" s="15">
        <v>128</v>
      </c>
      <c r="C58" s="16" t="s">
        <v>5</v>
      </c>
      <c r="D58" s="17">
        <v>0</v>
      </c>
      <c r="E58" s="1">
        <v>0</v>
      </c>
      <c r="F58" s="7">
        <v>0</v>
      </c>
      <c r="G58" s="1">
        <v>0</v>
      </c>
      <c r="H58" s="7">
        <v>1140</v>
      </c>
      <c r="I58" s="1" t="s">
        <v>54</v>
      </c>
      <c r="J58" s="7">
        <v>0</v>
      </c>
      <c r="K58" s="1">
        <v>0</v>
      </c>
      <c r="L58" s="1">
        <v>1</v>
      </c>
      <c r="M58" s="1" t="str">
        <f t="shared" si="0"/>
        <v>Aug</v>
      </c>
    </row>
    <row r="59" spans="1:13" x14ac:dyDescent="0.25">
      <c r="A59" s="6">
        <v>45873</v>
      </c>
      <c r="B59" s="9">
        <v>120</v>
      </c>
      <c r="C59" s="1" t="s">
        <v>5</v>
      </c>
      <c r="D59" s="11">
        <v>0</v>
      </c>
      <c r="E59" s="1">
        <v>0</v>
      </c>
      <c r="F59" s="7">
        <v>0</v>
      </c>
      <c r="G59" s="1">
        <v>0</v>
      </c>
      <c r="H59" s="7">
        <v>360</v>
      </c>
      <c r="I59" s="1" t="s">
        <v>54</v>
      </c>
      <c r="J59" s="7">
        <v>0</v>
      </c>
      <c r="K59" s="1">
        <v>0</v>
      </c>
      <c r="L59" s="1">
        <v>3</v>
      </c>
      <c r="M59" s="1" t="str">
        <f t="shared" si="0"/>
        <v>Aug</v>
      </c>
    </row>
    <row r="60" spans="1:13" x14ac:dyDescent="0.25">
      <c r="A60" s="6">
        <v>45874</v>
      </c>
      <c r="B60" s="1">
        <v>265</v>
      </c>
      <c r="C60" s="1" t="s">
        <v>5</v>
      </c>
      <c r="D60" s="11">
        <v>0</v>
      </c>
      <c r="E60" s="1">
        <v>0</v>
      </c>
      <c r="F60" s="7">
        <v>0</v>
      </c>
      <c r="G60" s="1">
        <v>0</v>
      </c>
      <c r="H60" s="7">
        <v>0</v>
      </c>
      <c r="I60" s="1">
        <v>0</v>
      </c>
      <c r="J60" s="7">
        <v>0</v>
      </c>
      <c r="K60" s="1">
        <v>0</v>
      </c>
      <c r="L60" s="1">
        <v>1</v>
      </c>
      <c r="M60" s="1" t="str">
        <f t="shared" si="0"/>
        <v>Aug</v>
      </c>
    </row>
    <row r="61" spans="1:13" x14ac:dyDescent="0.25">
      <c r="A61" s="6">
        <v>45874</v>
      </c>
      <c r="B61" s="1">
        <v>170</v>
      </c>
      <c r="C61" s="1" t="s">
        <v>72</v>
      </c>
      <c r="D61" s="11">
        <v>0</v>
      </c>
      <c r="E61" s="1">
        <v>0</v>
      </c>
      <c r="F61" s="7">
        <v>0</v>
      </c>
      <c r="G61" s="1">
        <v>0</v>
      </c>
      <c r="H61" s="7">
        <v>0</v>
      </c>
      <c r="I61" s="1">
        <v>0</v>
      </c>
      <c r="J61" s="7">
        <v>0</v>
      </c>
      <c r="K61" s="1">
        <v>0</v>
      </c>
      <c r="L61" s="1">
        <v>2</v>
      </c>
      <c r="M61" s="1" t="str">
        <f t="shared" si="0"/>
        <v>Aug</v>
      </c>
    </row>
    <row r="62" spans="1:13" x14ac:dyDescent="0.25">
      <c r="A62" s="6">
        <v>45874</v>
      </c>
      <c r="B62" s="1">
        <v>990</v>
      </c>
      <c r="C62" s="1" t="s">
        <v>5</v>
      </c>
      <c r="D62" s="11">
        <v>50</v>
      </c>
      <c r="E62" s="1" t="s">
        <v>63</v>
      </c>
      <c r="F62" s="7">
        <v>1200</v>
      </c>
      <c r="G62" s="1" t="s">
        <v>64</v>
      </c>
      <c r="H62" s="1">
        <f>80*7</f>
        <v>560</v>
      </c>
      <c r="I62" s="1">
        <v>0</v>
      </c>
      <c r="J62" s="1">
        <v>0</v>
      </c>
      <c r="K62" s="1">
        <v>0</v>
      </c>
      <c r="L62" s="1">
        <v>3</v>
      </c>
      <c r="M62" s="1" t="str">
        <f t="shared" si="0"/>
        <v>Aug</v>
      </c>
    </row>
    <row r="63" spans="1:13" x14ac:dyDescent="0.25">
      <c r="A63" s="6">
        <v>45874</v>
      </c>
      <c r="B63" s="1">
        <v>975</v>
      </c>
      <c r="C63" s="1" t="s">
        <v>72</v>
      </c>
      <c r="D63" s="11">
        <v>0</v>
      </c>
      <c r="E63" s="1">
        <v>0</v>
      </c>
      <c r="F63" s="7">
        <v>500</v>
      </c>
      <c r="G63" s="1" t="s">
        <v>66</v>
      </c>
      <c r="H63" s="1">
        <v>160</v>
      </c>
      <c r="I63" s="1">
        <v>0</v>
      </c>
      <c r="J63" s="1">
        <v>0</v>
      </c>
      <c r="K63" s="1">
        <v>0</v>
      </c>
      <c r="L63" s="1">
        <v>4</v>
      </c>
      <c r="M63" s="1" t="str">
        <f t="shared" si="0"/>
        <v>Aug</v>
      </c>
    </row>
    <row r="64" spans="1:13" x14ac:dyDescent="0.25">
      <c r="A64" s="1"/>
      <c r="B64" s="1"/>
      <c r="C64" s="1"/>
      <c r="D64" s="11"/>
      <c r="E64" s="1"/>
      <c r="F64" s="7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7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 t="s">
        <v>60</v>
      </c>
      <c r="C66" s="1" t="s">
        <v>61</v>
      </c>
      <c r="D66" s="1" t="s">
        <v>5</v>
      </c>
      <c r="E66" s="1"/>
      <c r="F66" s="7"/>
      <c r="G66" s="1"/>
      <c r="H66" s="1"/>
      <c r="I66" s="1"/>
      <c r="J66" s="1"/>
      <c r="K66" s="1"/>
      <c r="L66" s="1"/>
      <c r="M66" s="1"/>
    </row>
    <row r="67" spans="1:13" ht="15.75" x14ac:dyDescent="0.25">
      <c r="A67" s="1"/>
      <c r="B67" s="18">
        <f>SUM(B2:B63)</f>
        <v>26568</v>
      </c>
      <c r="C67" s="18">
        <v>10000</v>
      </c>
      <c r="D67" s="13">
        <v>30000</v>
      </c>
      <c r="E67" s="19"/>
      <c r="F67" s="7"/>
      <c r="G67" s="1"/>
      <c r="H67" s="1"/>
      <c r="I67" s="1"/>
      <c r="J67" s="1"/>
      <c r="K67" s="1"/>
      <c r="L67" s="1"/>
      <c r="M67" s="1"/>
    </row>
    <row r="68" spans="1:13" ht="15.75" x14ac:dyDescent="0.25">
      <c r="A68" s="1"/>
      <c r="B68" s="14" t="s">
        <v>65</v>
      </c>
      <c r="C68" s="14"/>
      <c r="D68" s="14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2" spans="1:13" x14ac:dyDescent="0.25">
      <c r="B72" s="1"/>
      <c r="C72" s="1"/>
      <c r="D72" s="1"/>
      <c r="E72" s="1"/>
    </row>
    <row r="73" spans="1:13" x14ac:dyDescent="0.25">
      <c r="B73" s="1"/>
      <c r="C73" s="1"/>
      <c r="D73" s="1"/>
      <c r="E73" s="1"/>
    </row>
    <row r="74" spans="1:13" x14ac:dyDescent="0.25">
      <c r="B74" s="1"/>
      <c r="C74" s="1"/>
      <c r="D74" s="1"/>
      <c r="E74" s="1"/>
    </row>
    <row r="75" spans="1:13" x14ac:dyDescent="0.25">
      <c r="B75" s="1"/>
      <c r="C75" s="1"/>
      <c r="D75" s="1"/>
      <c r="E75" s="1"/>
    </row>
    <row r="76" spans="1:13" x14ac:dyDescent="0.25">
      <c r="B76" s="1"/>
      <c r="C76" s="1"/>
      <c r="D76" s="1"/>
      <c r="E76" s="1"/>
    </row>
    <row r="77" spans="1:13" x14ac:dyDescent="0.25">
      <c r="B77" s="1"/>
      <c r="C77" s="1"/>
      <c r="D77" s="1"/>
      <c r="E77" s="1"/>
    </row>
    <row r="78" spans="1:13" x14ac:dyDescent="0.25">
      <c r="B78" s="1"/>
      <c r="C78" s="1"/>
      <c r="D78" s="1"/>
      <c r="E78" s="1"/>
    </row>
    <row r="79" spans="1:13" x14ac:dyDescent="0.25">
      <c r="B79" s="1"/>
      <c r="C79" s="1"/>
      <c r="D79" s="1"/>
      <c r="E79" s="1"/>
    </row>
    <row r="80" spans="1:13" x14ac:dyDescent="0.25">
      <c r="B80" s="1"/>
      <c r="C80" s="1"/>
      <c r="D80" s="1"/>
      <c r="E80" s="1"/>
    </row>
    <row r="81" spans="2:5" x14ac:dyDescent="0.25">
      <c r="B81" s="1"/>
      <c r="C81" s="1"/>
      <c r="D81" s="1"/>
      <c r="E81" s="1"/>
    </row>
    <row r="82" spans="2:5" x14ac:dyDescent="0.25">
      <c r="B82" s="1"/>
      <c r="C82" s="1"/>
      <c r="D82" s="1"/>
      <c r="E82" s="1"/>
    </row>
    <row r="83" spans="2:5" x14ac:dyDescent="0.25">
      <c r="B83" s="1"/>
      <c r="C83" s="1"/>
      <c r="D83" s="1"/>
      <c r="E83" s="1"/>
    </row>
    <row r="84" spans="2:5" x14ac:dyDescent="0.25">
      <c r="B84" s="1"/>
      <c r="C84" s="1"/>
      <c r="D84" s="1"/>
      <c r="E84" s="1"/>
    </row>
    <row r="85" spans="2:5" x14ac:dyDescent="0.25">
      <c r="B85" s="1"/>
      <c r="C85" s="1"/>
      <c r="D85" s="1"/>
      <c r="E85" s="1"/>
    </row>
    <row r="86" spans="2:5" x14ac:dyDescent="0.25">
      <c r="B86" s="1"/>
      <c r="C86" s="1"/>
      <c r="D86" s="1"/>
      <c r="E86" s="1"/>
    </row>
    <row r="87" spans="2:5" x14ac:dyDescent="0.25">
      <c r="B87" s="1"/>
      <c r="C87" s="1"/>
      <c r="D87" s="1"/>
      <c r="E87" s="1"/>
    </row>
    <row r="88" spans="2:5" x14ac:dyDescent="0.25">
      <c r="B88" s="1"/>
      <c r="C88" s="1"/>
      <c r="D88" s="1"/>
      <c r="E88" s="1"/>
    </row>
    <row r="89" spans="2:5" x14ac:dyDescent="0.25">
      <c r="B89" s="1"/>
      <c r="C89" s="1"/>
      <c r="D89" s="1"/>
      <c r="E89" s="1"/>
    </row>
  </sheetData>
  <phoneticPr fontId="8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46C4-91C2-4ABB-B8C5-8EE3A764938D}">
  <dimension ref="A1:I17"/>
  <sheetViews>
    <sheetView topLeftCell="A8" workbookViewId="0">
      <selection activeCell="L11" sqref="L11"/>
    </sheetView>
  </sheetViews>
  <sheetFormatPr defaultRowHeight="15" x14ac:dyDescent="0.25"/>
  <sheetData>
    <row r="1" spans="1:9" x14ac:dyDescent="0.25">
      <c r="A1" s="25" t="s">
        <v>74</v>
      </c>
      <c r="B1" s="130"/>
      <c r="C1" s="130"/>
      <c r="D1" s="130"/>
      <c r="E1" s="130"/>
      <c r="F1" s="130"/>
      <c r="G1" s="130"/>
      <c r="H1" s="130"/>
      <c r="I1" s="131"/>
    </row>
    <row r="2" spans="1:9" x14ac:dyDescent="0.25">
      <c r="A2" s="26" t="s">
        <v>75</v>
      </c>
      <c r="B2" s="132"/>
      <c r="C2" s="132"/>
      <c r="D2" s="132"/>
      <c r="E2" s="132"/>
      <c r="F2" s="132"/>
      <c r="G2" s="132"/>
      <c r="H2" s="132"/>
      <c r="I2" s="133"/>
    </row>
    <row r="3" spans="1:9" x14ac:dyDescent="0.25">
      <c r="A3" s="26" t="s">
        <v>76</v>
      </c>
      <c r="B3" s="132"/>
      <c r="C3" s="132"/>
      <c r="D3" s="132"/>
      <c r="E3" s="132"/>
      <c r="F3" s="132"/>
      <c r="G3" s="132"/>
      <c r="H3" s="132"/>
      <c r="I3" s="133"/>
    </row>
    <row r="4" spans="1:9" x14ac:dyDescent="0.25">
      <c r="A4" s="26" t="s">
        <v>77</v>
      </c>
      <c r="B4" s="132"/>
      <c r="C4" s="132"/>
      <c r="D4" s="132"/>
      <c r="E4" s="132"/>
      <c r="F4" s="132"/>
      <c r="G4" s="132"/>
      <c r="H4" s="132"/>
      <c r="I4" s="133"/>
    </row>
    <row r="5" spans="1:9" x14ac:dyDescent="0.25">
      <c r="A5" s="26" t="s">
        <v>78</v>
      </c>
      <c r="B5" s="132"/>
      <c r="C5" s="132"/>
      <c r="D5" s="132"/>
      <c r="E5" s="132"/>
      <c r="F5" s="132"/>
      <c r="G5" s="132"/>
      <c r="H5" s="132"/>
      <c r="I5" s="133"/>
    </row>
    <row r="6" spans="1:9" ht="15.75" thickBot="1" x14ac:dyDescent="0.3">
      <c r="A6" s="27" t="s">
        <v>79</v>
      </c>
      <c r="B6" s="134"/>
      <c r="C6" s="134"/>
      <c r="D6" s="134"/>
      <c r="E6" s="134"/>
      <c r="F6" s="134"/>
      <c r="G6" s="134"/>
      <c r="H6" s="134"/>
      <c r="I6" s="135"/>
    </row>
    <row r="7" spans="1:9" ht="15.75" thickBot="1" x14ac:dyDescent="0.3">
      <c r="A7" s="125"/>
      <c r="B7" s="126"/>
      <c r="C7" s="126"/>
      <c r="D7" s="126"/>
      <c r="E7" s="126"/>
      <c r="F7" s="126"/>
      <c r="G7" s="126"/>
      <c r="H7" s="126"/>
      <c r="I7" s="127"/>
    </row>
    <row r="8" spans="1:9" ht="30.75" thickBot="1" x14ac:dyDescent="0.3">
      <c r="A8" s="28" t="s">
        <v>80</v>
      </c>
      <c r="B8" s="29" t="s">
        <v>1</v>
      </c>
      <c r="C8" s="29" t="s">
        <v>81</v>
      </c>
      <c r="D8" s="30" t="s">
        <v>82</v>
      </c>
      <c r="E8" s="128"/>
      <c r="F8" s="28" t="s">
        <v>80</v>
      </c>
      <c r="G8" s="29" t="s">
        <v>1</v>
      </c>
      <c r="H8" s="29" t="s">
        <v>81</v>
      </c>
      <c r="I8" s="30" t="s">
        <v>82</v>
      </c>
    </row>
    <row r="9" spans="1:9" x14ac:dyDescent="0.25">
      <c r="A9" s="31"/>
      <c r="B9" s="20"/>
      <c r="C9" s="20"/>
      <c r="D9" s="32"/>
      <c r="E9" s="128"/>
      <c r="F9" s="31"/>
      <c r="G9" s="20"/>
      <c r="H9" s="20"/>
      <c r="I9" s="32"/>
    </row>
    <row r="10" spans="1:9" x14ac:dyDescent="0.25">
      <c r="A10" s="26"/>
      <c r="B10" s="3"/>
      <c r="C10" s="3"/>
      <c r="D10" s="33"/>
      <c r="E10" s="128"/>
      <c r="F10" s="26"/>
      <c r="G10" s="3"/>
      <c r="H10" s="3"/>
      <c r="I10" s="33"/>
    </row>
    <row r="11" spans="1:9" x14ac:dyDescent="0.25">
      <c r="A11" s="26"/>
      <c r="B11" s="3"/>
      <c r="C11" s="3"/>
      <c r="D11" s="33"/>
      <c r="E11" s="128"/>
      <c r="F11" s="26"/>
      <c r="G11" s="3"/>
      <c r="H11" s="3"/>
      <c r="I11" s="33"/>
    </row>
    <row r="12" spans="1:9" x14ac:dyDescent="0.25">
      <c r="A12" s="26"/>
      <c r="B12" s="3"/>
      <c r="C12" s="3"/>
      <c r="D12" s="33"/>
      <c r="E12" s="128"/>
      <c r="F12" s="26"/>
      <c r="G12" s="3"/>
      <c r="H12" s="3"/>
      <c r="I12" s="33"/>
    </row>
    <row r="13" spans="1:9" x14ac:dyDescent="0.25">
      <c r="A13" s="26"/>
      <c r="B13" s="3"/>
      <c r="C13" s="3"/>
      <c r="D13" s="33"/>
      <c r="E13" s="128"/>
      <c r="F13" s="26"/>
      <c r="G13" s="3"/>
      <c r="H13" s="3"/>
      <c r="I13" s="33"/>
    </row>
    <row r="14" spans="1:9" x14ac:dyDescent="0.25">
      <c r="A14" s="26"/>
      <c r="B14" s="3"/>
      <c r="C14" s="3"/>
      <c r="D14" s="33"/>
      <c r="E14" s="128"/>
      <c r="F14" s="26"/>
      <c r="G14" s="3"/>
      <c r="H14" s="3"/>
      <c r="I14" s="33"/>
    </row>
    <row r="15" spans="1:9" x14ac:dyDescent="0.25">
      <c r="A15" s="26"/>
      <c r="B15" s="3"/>
      <c r="C15" s="3"/>
      <c r="D15" s="33"/>
      <c r="E15" s="128"/>
      <c r="F15" s="26"/>
      <c r="G15" s="3"/>
      <c r="H15" s="3"/>
      <c r="I15" s="33"/>
    </row>
    <row r="16" spans="1:9" x14ac:dyDescent="0.25">
      <c r="A16" s="26"/>
      <c r="B16" s="3"/>
      <c r="C16" s="3"/>
      <c r="D16" s="33"/>
      <c r="E16" s="128"/>
      <c r="F16" s="26"/>
      <c r="G16" s="3"/>
      <c r="H16" s="3"/>
      <c r="I16" s="33"/>
    </row>
    <row r="17" spans="1:9" ht="15.75" thickBot="1" x14ac:dyDescent="0.3">
      <c r="A17" s="27"/>
      <c r="B17" s="34"/>
      <c r="C17" s="34"/>
      <c r="D17" s="35"/>
      <c r="E17" s="129"/>
      <c r="F17" s="27"/>
      <c r="G17" s="34"/>
      <c r="H17" s="34"/>
      <c r="I17" s="35"/>
    </row>
  </sheetData>
  <mergeCells count="8">
    <mergeCell ref="A7:I7"/>
    <mergeCell ref="E8:E17"/>
    <mergeCell ref="B1:I1"/>
    <mergeCell ref="B2:I2"/>
    <mergeCell ref="B3:I3"/>
    <mergeCell ref="B4:I4"/>
    <mergeCell ref="B5:I5"/>
    <mergeCell ref="B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8D6D-1B25-4391-BF84-08ABB8140744}">
  <dimension ref="A1:AC113"/>
  <sheetViews>
    <sheetView topLeftCell="A14" zoomScale="50" zoomScaleNormal="50" workbookViewId="0">
      <selection activeCell="J39" sqref="J39"/>
    </sheetView>
  </sheetViews>
  <sheetFormatPr defaultRowHeight="15" x14ac:dyDescent="0.25"/>
  <cols>
    <col min="1" max="1" width="14.85546875" bestFit="1" customWidth="1"/>
    <col min="2" max="2" width="10.85546875" customWidth="1"/>
    <col min="4" max="4" width="11.140625" customWidth="1"/>
    <col min="5" max="5" width="17.28515625" bestFit="1" customWidth="1"/>
    <col min="6" max="6" width="9.7109375" bestFit="1" customWidth="1"/>
    <col min="7" max="7" width="11.7109375" customWidth="1"/>
    <col min="8" max="8" width="10.85546875" customWidth="1"/>
    <col min="10" max="10" width="12.28515625" customWidth="1"/>
    <col min="11" max="11" width="13" bestFit="1" customWidth="1"/>
    <col min="13" max="13" width="11.42578125" customWidth="1"/>
    <col min="16" max="16" width="12.5703125" customWidth="1"/>
    <col min="17" max="17" width="15.28515625" bestFit="1" customWidth="1"/>
    <col min="23" max="23" width="12.140625" bestFit="1" customWidth="1"/>
    <col min="25" max="25" width="19.85546875" bestFit="1" customWidth="1"/>
    <col min="28" max="28" width="11.5703125" bestFit="1" customWidth="1"/>
  </cols>
  <sheetData>
    <row r="1" spans="1:29" ht="19.5" thickBot="1" x14ac:dyDescent="0.35">
      <c r="A1" s="36"/>
      <c r="B1" s="36" t="s">
        <v>83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18.75" x14ac:dyDescent="0.3">
      <c r="A2" s="37"/>
      <c r="B2" s="38" t="s">
        <v>84</v>
      </c>
      <c r="C2" s="37"/>
      <c r="D2" s="37"/>
      <c r="E2" s="37" t="s">
        <v>85</v>
      </c>
      <c r="F2" s="37"/>
      <c r="G2" s="37"/>
      <c r="H2" s="37" t="s">
        <v>159</v>
      </c>
      <c r="I2" s="37"/>
      <c r="J2" s="37"/>
      <c r="K2" s="37" t="s">
        <v>86</v>
      </c>
      <c r="L2" s="37"/>
      <c r="M2" s="37"/>
      <c r="N2" s="37" t="s">
        <v>87</v>
      </c>
      <c r="O2" s="37"/>
      <c r="P2" s="37"/>
      <c r="Q2" s="37"/>
      <c r="R2" s="37"/>
      <c r="S2" s="39"/>
      <c r="T2" s="40" t="s">
        <v>88</v>
      </c>
      <c r="U2" s="40"/>
      <c r="V2" s="41"/>
      <c r="W2" s="42" t="s">
        <v>5</v>
      </c>
      <c r="X2" s="37"/>
      <c r="Y2" s="37"/>
      <c r="Z2" s="37"/>
      <c r="AA2" s="37"/>
      <c r="AB2" s="37"/>
      <c r="AC2" s="37"/>
    </row>
    <row r="3" spans="1:29" ht="18.75" x14ac:dyDescent="0.3">
      <c r="A3" s="37"/>
      <c r="B3" s="43"/>
      <c r="C3" s="44" t="s">
        <v>89</v>
      </c>
      <c r="D3" s="37"/>
      <c r="E3" s="43">
        <v>50</v>
      </c>
      <c r="F3" s="44" t="s">
        <v>89</v>
      </c>
      <c r="G3" s="37"/>
      <c r="H3" s="43">
        <v>50</v>
      </c>
      <c r="I3" s="44" t="s">
        <v>89</v>
      </c>
      <c r="J3" s="37"/>
      <c r="K3" s="43">
        <v>50</v>
      </c>
      <c r="L3" s="44" t="s">
        <v>90</v>
      </c>
      <c r="M3" s="37"/>
      <c r="N3" s="43">
        <v>50</v>
      </c>
      <c r="O3" s="45" t="s">
        <v>90</v>
      </c>
      <c r="P3" s="46"/>
      <c r="Q3" s="47"/>
      <c r="R3" s="37"/>
      <c r="S3" s="48">
        <v>50</v>
      </c>
      <c r="T3" s="49"/>
      <c r="U3" s="50"/>
      <c r="V3" s="51"/>
      <c r="W3" s="52"/>
      <c r="X3" s="37"/>
      <c r="Y3" s="37"/>
      <c r="Z3" s="37"/>
      <c r="AA3" s="37"/>
      <c r="AB3" s="37"/>
      <c r="AC3" s="37"/>
    </row>
    <row r="4" spans="1:29" ht="18.75" x14ac:dyDescent="0.3">
      <c r="A4" s="53">
        <v>50</v>
      </c>
      <c r="B4" s="54">
        <v>1</v>
      </c>
      <c r="C4" s="54">
        <v>1</v>
      </c>
      <c r="D4" s="37"/>
      <c r="E4" s="54">
        <v>13</v>
      </c>
      <c r="F4" s="54">
        <v>1</v>
      </c>
      <c r="G4" s="37"/>
      <c r="H4" s="54">
        <v>25</v>
      </c>
      <c r="I4" s="54">
        <v>1</v>
      </c>
      <c r="J4" s="37"/>
      <c r="K4" s="54">
        <v>1</v>
      </c>
      <c r="L4" s="54">
        <v>1</v>
      </c>
      <c r="M4" s="37"/>
      <c r="N4" s="55">
        <v>11</v>
      </c>
      <c r="O4" s="56">
        <v>1</v>
      </c>
      <c r="P4" s="55">
        <v>21</v>
      </c>
      <c r="Q4" s="55">
        <v>1</v>
      </c>
      <c r="R4" s="37"/>
      <c r="S4" s="57">
        <v>1</v>
      </c>
      <c r="T4" s="58">
        <v>1</v>
      </c>
      <c r="U4" s="59"/>
      <c r="V4" s="60">
        <v>13</v>
      </c>
      <c r="W4" s="61">
        <v>1</v>
      </c>
      <c r="X4" s="37"/>
      <c r="Y4" s="37"/>
      <c r="Z4" s="37"/>
      <c r="AA4" s="37"/>
      <c r="AB4" s="37"/>
      <c r="AC4" s="37"/>
    </row>
    <row r="5" spans="1:29" ht="18.75" x14ac:dyDescent="0.3">
      <c r="A5" s="53">
        <v>50</v>
      </c>
      <c r="B5" s="54">
        <v>2</v>
      </c>
      <c r="C5" s="54">
        <v>1</v>
      </c>
      <c r="D5" s="37"/>
      <c r="E5" s="54">
        <v>14</v>
      </c>
      <c r="F5" s="54">
        <v>1</v>
      </c>
      <c r="G5" s="37"/>
      <c r="H5" s="54">
        <v>26</v>
      </c>
      <c r="I5" s="54">
        <v>1</v>
      </c>
      <c r="J5" s="37"/>
      <c r="K5" s="54">
        <v>2</v>
      </c>
      <c r="L5" s="54">
        <v>1</v>
      </c>
      <c r="M5" s="37"/>
      <c r="N5" s="54">
        <v>12</v>
      </c>
      <c r="O5" s="62">
        <v>2</v>
      </c>
      <c r="P5" s="54">
        <v>22</v>
      </c>
      <c r="Q5" s="54">
        <v>1</v>
      </c>
      <c r="R5" s="37"/>
      <c r="S5" s="57">
        <v>2</v>
      </c>
      <c r="T5" s="58">
        <v>1</v>
      </c>
      <c r="U5" s="63"/>
      <c r="V5" s="60">
        <v>14</v>
      </c>
      <c r="W5" s="61">
        <v>1</v>
      </c>
      <c r="X5" s="37"/>
      <c r="Y5" s="37"/>
      <c r="Z5" s="37"/>
      <c r="AA5" s="37"/>
      <c r="AB5" s="37"/>
      <c r="AC5" s="37"/>
    </row>
    <row r="6" spans="1:29" ht="18.75" x14ac:dyDescent="0.3">
      <c r="A6" s="53">
        <v>50</v>
      </c>
      <c r="B6" s="54">
        <v>3</v>
      </c>
      <c r="C6" s="54">
        <v>1</v>
      </c>
      <c r="D6" s="37"/>
      <c r="E6" s="54">
        <v>15</v>
      </c>
      <c r="F6" s="54">
        <v>1</v>
      </c>
      <c r="G6" s="37"/>
      <c r="H6" s="54">
        <v>27</v>
      </c>
      <c r="I6" s="54">
        <v>1</v>
      </c>
      <c r="J6" s="37"/>
      <c r="K6" s="54">
        <v>3</v>
      </c>
      <c r="L6" s="54">
        <v>1</v>
      </c>
      <c r="M6" s="37"/>
      <c r="N6" s="54">
        <v>13</v>
      </c>
      <c r="O6" s="62">
        <v>1</v>
      </c>
      <c r="P6" s="54">
        <v>23</v>
      </c>
      <c r="Q6" s="54">
        <v>1</v>
      </c>
      <c r="R6" s="37"/>
      <c r="S6" s="57">
        <v>3</v>
      </c>
      <c r="T6" s="58">
        <v>1</v>
      </c>
      <c r="U6" s="63"/>
      <c r="V6" s="60">
        <v>15</v>
      </c>
      <c r="W6" s="61">
        <v>1</v>
      </c>
      <c r="X6" s="37"/>
      <c r="Y6" s="37"/>
      <c r="Z6" s="37"/>
      <c r="AA6" s="37"/>
      <c r="AB6" s="37"/>
      <c r="AC6" s="37"/>
    </row>
    <row r="7" spans="1:29" ht="18.75" x14ac:dyDescent="0.3">
      <c r="A7" s="53">
        <v>50</v>
      </c>
      <c r="B7" s="54">
        <v>4</v>
      </c>
      <c r="C7" s="54">
        <v>1</v>
      </c>
      <c r="D7" s="37"/>
      <c r="E7" s="54">
        <v>16</v>
      </c>
      <c r="F7" s="54">
        <v>1</v>
      </c>
      <c r="G7" s="37"/>
      <c r="H7" s="54">
        <v>28</v>
      </c>
      <c r="I7" s="54">
        <v>1</v>
      </c>
      <c r="J7" s="37"/>
      <c r="K7" s="54">
        <v>4</v>
      </c>
      <c r="L7" s="54">
        <v>1</v>
      </c>
      <c r="M7" s="37"/>
      <c r="N7" s="54">
        <v>14</v>
      </c>
      <c r="O7" s="62">
        <v>1</v>
      </c>
      <c r="P7" s="54">
        <v>24</v>
      </c>
      <c r="Q7" s="54">
        <v>1</v>
      </c>
      <c r="R7" s="37"/>
      <c r="S7" s="57">
        <v>4</v>
      </c>
      <c r="T7" s="58">
        <v>1</v>
      </c>
      <c r="U7" s="63"/>
      <c r="V7" s="60">
        <v>16</v>
      </c>
      <c r="W7" s="61">
        <v>1</v>
      </c>
      <c r="X7" s="37"/>
      <c r="Y7" s="37"/>
      <c r="Z7" s="37"/>
      <c r="AA7" s="37"/>
      <c r="AB7" s="37"/>
      <c r="AC7" s="37"/>
    </row>
    <row r="8" spans="1:29" ht="18.75" x14ac:dyDescent="0.3">
      <c r="A8" s="53">
        <v>50</v>
      </c>
      <c r="B8" s="54">
        <v>5</v>
      </c>
      <c r="C8" s="54">
        <v>1</v>
      </c>
      <c r="D8" s="37"/>
      <c r="E8" s="54">
        <v>17</v>
      </c>
      <c r="F8" s="54">
        <v>1</v>
      </c>
      <c r="G8" s="37"/>
      <c r="H8" s="54">
        <v>29</v>
      </c>
      <c r="I8" s="54">
        <v>1</v>
      </c>
      <c r="J8" s="37"/>
      <c r="K8" s="54">
        <v>5</v>
      </c>
      <c r="L8" s="54">
        <v>1</v>
      </c>
      <c r="M8" s="37"/>
      <c r="N8" s="54">
        <v>15</v>
      </c>
      <c r="O8" s="62">
        <v>1</v>
      </c>
      <c r="P8" s="54">
        <v>25</v>
      </c>
      <c r="Q8" s="54">
        <v>1</v>
      </c>
      <c r="R8" s="37"/>
      <c r="S8" s="57">
        <v>5</v>
      </c>
      <c r="T8" s="58">
        <v>1</v>
      </c>
      <c r="U8" s="63"/>
      <c r="V8" s="60">
        <v>17</v>
      </c>
      <c r="W8" s="61">
        <v>1</v>
      </c>
      <c r="X8" s="37"/>
      <c r="Y8" s="37"/>
      <c r="Z8" s="37"/>
      <c r="AA8" s="37"/>
      <c r="AB8" s="37"/>
      <c r="AC8" s="37"/>
    </row>
    <row r="9" spans="1:29" ht="18.75" x14ac:dyDescent="0.3">
      <c r="A9" s="53">
        <v>50</v>
      </c>
      <c r="B9" s="54">
        <v>6</v>
      </c>
      <c r="C9" s="54">
        <v>1</v>
      </c>
      <c r="D9" s="37"/>
      <c r="E9" s="54">
        <v>18</v>
      </c>
      <c r="F9" s="54">
        <v>1</v>
      </c>
      <c r="G9" s="37"/>
      <c r="H9" s="64">
        <v>30</v>
      </c>
      <c r="I9" s="64" t="s">
        <v>91</v>
      </c>
      <c r="J9" s="37"/>
      <c r="K9" s="54">
        <v>6</v>
      </c>
      <c r="L9" s="54">
        <v>1</v>
      </c>
      <c r="M9" s="37"/>
      <c r="N9" s="54">
        <v>16</v>
      </c>
      <c r="O9" s="62">
        <v>1</v>
      </c>
      <c r="P9" s="54">
        <v>26</v>
      </c>
      <c r="Q9" s="54">
        <v>1</v>
      </c>
      <c r="R9" s="37"/>
      <c r="S9" s="57">
        <v>6</v>
      </c>
      <c r="T9" s="58">
        <v>1</v>
      </c>
      <c r="U9" s="63"/>
      <c r="V9" s="60">
        <v>18</v>
      </c>
      <c r="W9" s="61">
        <v>1</v>
      </c>
      <c r="X9" s="37"/>
      <c r="Y9" s="37"/>
      <c r="Z9" s="37"/>
      <c r="AA9" s="37"/>
      <c r="AB9" s="37"/>
      <c r="AC9" s="37"/>
    </row>
    <row r="10" spans="1:29" ht="18.75" x14ac:dyDescent="0.3">
      <c r="A10" s="53">
        <v>50</v>
      </c>
      <c r="B10" s="54">
        <v>7</v>
      </c>
      <c r="C10" s="54">
        <v>1</v>
      </c>
      <c r="D10" s="37"/>
      <c r="E10" s="54">
        <v>19</v>
      </c>
      <c r="F10" s="54">
        <v>1</v>
      </c>
      <c r="G10" s="37"/>
      <c r="H10" s="38"/>
      <c r="I10" s="37"/>
      <c r="J10" s="37"/>
      <c r="K10" s="54">
        <v>7</v>
      </c>
      <c r="L10" s="54">
        <v>1</v>
      </c>
      <c r="M10" s="37"/>
      <c r="N10" s="54">
        <v>17</v>
      </c>
      <c r="O10" s="62">
        <v>1</v>
      </c>
      <c r="P10" s="54">
        <v>27</v>
      </c>
      <c r="Q10" s="54">
        <v>1</v>
      </c>
      <c r="R10" s="37"/>
      <c r="S10" s="65">
        <v>7</v>
      </c>
      <c r="T10" s="66" t="s">
        <v>92</v>
      </c>
      <c r="U10" s="63"/>
      <c r="V10" s="60">
        <v>19</v>
      </c>
      <c r="W10" s="61">
        <v>1</v>
      </c>
      <c r="X10" s="37"/>
      <c r="Y10" s="37"/>
      <c r="Z10" s="37"/>
      <c r="AA10" s="37"/>
      <c r="AB10" s="37"/>
      <c r="AC10" s="37"/>
    </row>
    <row r="11" spans="1:29" ht="18.75" x14ac:dyDescent="0.3">
      <c r="A11" s="53">
        <v>50</v>
      </c>
      <c r="B11" s="54">
        <v>8</v>
      </c>
      <c r="C11" s="54">
        <v>1</v>
      </c>
      <c r="D11" s="37"/>
      <c r="E11" s="54">
        <v>20</v>
      </c>
      <c r="F11" s="54">
        <v>1</v>
      </c>
      <c r="G11" s="37"/>
      <c r="H11" s="38"/>
      <c r="I11" s="37"/>
      <c r="J11" s="37"/>
      <c r="K11" s="54">
        <v>8</v>
      </c>
      <c r="L11" s="54">
        <v>1</v>
      </c>
      <c r="M11" s="37"/>
      <c r="N11" s="54">
        <v>18</v>
      </c>
      <c r="O11" s="62">
        <v>1</v>
      </c>
      <c r="P11" s="54">
        <v>28</v>
      </c>
      <c r="Q11" s="54">
        <v>1</v>
      </c>
      <c r="R11" s="37"/>
      <c r="S11" s="57">
        <v>8</v>
      </c>
      <c r="T11" s="58">
        <v>1</v>
      </c>
      <c r="U11" s="63"/>
      <c r="V11" s="60">
        <v>20</v>
      </c>
      <c r="W11" s="61">
        <v>1</v>
      </c>
      <c r="X11" s="37"/>
      <c r="Y11" s="37"/>
      <c r="Z11" s="37"/>
      <c r="AA11" s="37"/>
      <c r="AB11" s="37"/>
      <c r="AC11" s="37"/>
    </row>
    <row r="12" spans="1:29" ht="18.75" x14ac:dyDescent="0.3">
      <c r="A12" s="53">
        <v>50</v>
      </c>
      <c r="B12" s="54">
        <v>9</v>
      </c>
      <c r="C12" s="54">
        <v>1</v>
      </c>
      <c r="D12" s="37"/>
      <c r="E12" s="54">
        <v>21</v>
      </c>
      <c r="F12" s="54">
        <v>1</v>
      </c>
      <c r="G12" s="37"/>
      <c r="H12" s="38"/>
      <c r="I12" s="37"/>
      <c r="J12" s="37"/>
      <c r="K12" s="54">
        <v>9</v>
      </c>
      <c r="L12" s="54">
        <v>1</v>
      </c>
      <c r="M12" s="37"/>
      <c r="N12" s="64">
        <v>19</v>
      </c>
      <c r="O12" s="67" t="s">
        <v>93</v>
      </c>
      <c r="P12" s="54">
        <v>29</v>
      </c>
      <c r="Q12" s="54">
        <v>1</v>
      </c>
      <c r="R12" s="37"/>
      <c r="S12" s="57">
        <v>9</v>
      </c>
      <c r="T12" s="58">
        <v>1</v>
      </c>
      <c r="U12" s="63"/>
      <c r="V12" s="68">
        <v>21</v>
      </c>
      <c r="W12" s="69" t="s">
        <v>69</v>
      </c>
      <c r="X12" s="37"/>
      <c r="Y12" s="37"/>
      <c r="Z12" s="37"/>
      <c r="AA12" s="37"/>
      <c r="AB12" s="37"/>
      <c r="AC12" s="37"/>
    </row>
    <row r="13" spans="1:29" ht="18.75" x14ac:dyDescent="0.3">
      <c r="A13" s="53">
        <v>50</v>
      </c>
      <c r="B13" s="54">
        <v>10</v>
      </c>
      <c r="C13" s="54">
        <v>1</v>
      </c>
      <c r="D13" s="37"/>
      <c r="E13" s="54">
        <v>22</v>
      </c>
      <c r="F13" s="54">
        <v>1</v>
      </c>
      <c r="G13" s="37"/>
      <c r="H13" s="38"/>
      <c r="I13" s="37"/>
      <c r="J13" s="37"/>
      <c r="K13" s="54">
        <v>10</v>
      </c>
      <c r="L13" s="54">
        <v>1</v>
      </c>
      <c r="M13" s="37"/>
      <c r="N13" s="54">
        <v>20</v>
      </c>
      <c r="O13" s="62">
        <v>1</v>
      </c>
      <c r="P13" s="54">
        <v>30</v>
      </c>
      <c r="Q13" s="54">
        <v>1</v>
      </c>
      <c r="R13" s="37"/>
      <c r="S13" s="57">
        <v>10</v>
      </c>
      <c r="T13" s="58">
        <v>1</v>
      </c>
      <c r="U13" s="63"/>
      <c r="V13" s="60">
        <v>22</v>
      </c>
      <c r="W13" s="61">
        <v>1</v>
      </c>
      <c r="X13" s="37"/>
      <c r="Y13" s="37"/>
      <c r="Z13" s="37"/>
      <c r="AA13" s="37"/>
      <c r="AB13" s="37"/>
      <c r="AC13" s="37"/>
    </row>
    <row r="14" spans="1:29" ht="18.75" x14ac:dyDescent="0.3">
      <c r="A14" s="53">
        <v>50</v>
      </c>
      <c r="B14" s="54">
        <v>11</v>
      </c>
      <c r="C14" s="54">
        <v>1</v>
      </c>
      <c r="D14" s="37"/>
      <c r="E14" s="54">
        <v>23</v>
      </c>
      <c r="F14" s="54">
        <v>1</v>
      </c>
      <c r="G14" s="37"/>
      <c r="H14" s="38"/>
      <c r="I14" s="37"/>
      <c r="J14" s="37"/>
      <c r="K14" s="38"/>
      <c r="L14" s="37"/>
      <c r="M14" s="37"/>
      <c r="N14" s="37"/>
      <c r="O14" s="38"/>
      <c r="P14" s="37"/>
      <c r="Q14" s="37"/>
      <c r="R14" s="37"/>
      <c r="S14" s="57">
        <v>11</v>
      </c>
      <c r="T14" s="58">
        <v>1</v>
      </c>
      <c r="U14" s="63"/>
      <c r="V14" s="60">
        <v>23</v>
      </c>
      <c r="W14" s="61">
        <v>1</v>
      </c>
      <c r="X14" s="37"/>
      <c r="Y14" s="37"/>
      <c r="Z14" s="36"/>
      <c r="AA14" s="36"/>
      <c r="AB14" s="36"/>
      <c r="AC14" s="36"/>
    </row>
    <row r="15" spans="1:29" ht="19.5" thickBot="1" x14ac:dyDescent="0.35">
      <c r="A15" s="53">
        <v>50</v>
      </c>
      <c r="B15" s="54">
        <v>12</v>
      </c>
      <c r="C15" s="54">
        <v>1</v>
      </c>
      <c r="D15" s="37"/>
      <c r="E15" s="54">
        <v>24</v>
      </c>
      <c r="F15" s="54">
        <v>1</v>
      </c>
      <c r="G15" s="37"/>
      <c r="H15" s="38"/>
      <c r="I15" s="37"/>
      <c r="J15" s="37"/>
      <c r="K15" s="38"/>
      <c r="L15" s="37"/>
      <c r="M15" s="37"/>
      <c r="N15" s="37"/>
      <c r="O15" s="38"/>
      <c r="P15" s="37"/>
      <c r="Q15" s="37"/>
      <c r="R15" s="37"/>
      <c r="S15" s="70">
        <v>12</v>
      </c>
      <c r="T15" s="71">
        <v>1</v>
      </c>
      <c r="U15" s="72"/>
      <c r="V15" s="73">
        <v>24</v>
      </c>
      <c r="W15" s="74">
        <v>1</v>
      </c>
      <c r="X15" s="37"/>
      <c r="Y15" s="37"/>
      <c r="Z15" s="37"/>
      <c r="AA15" s="37"/>
      <c r="AB15" s="37"/>
      <c r="AC15" s="37"/>
    </row>
    <row r="16" spans="1:29" ht="18.75" x14ac:dyDescent="0.3">
      <c r="A16" s="75"/>
      <c r="B16" s="37"/>
      <c r="C16" s="75"/>
      <c r="D16" s="37"/>
      <c r="E16" s="37"/>
      <c r="F16" s="110"/>
      <c r="G16" s="37"/>
      <c r="H16" s="37"/>
      <c r="I16" s="110"/>
      <c r="J16" s="37"/>
      <c r="K16" s="37"/>
      <c r="L16" s="110"/>
      <c r="M16" s="36"/>
      <c r="N16" s="37"/>
      <c r="O16" s="37"/>
      <c r="P16" s="37"/>
      <c r="Q16" s="110"/>
      <c r="R16" s="37"/>
      <c r="S16" s="37"/>
      <c r="T16" s="37"/>
      <c r="U16" s="37"/>
      <c r="V16" s="37"/>
      <c r="W16" s="110"/>
      <c r="X16" s="37"/>
      <c r="Y16" s="37"/>
      <c r="Z16" s="37"/>
      <c r="AA16" s="37"/>
      <c r="AB16" s="37"/>
      <c r="AC16" s="37"/>
    </row>
    <row r="17" spans="1:29" ht="19.5" thickBot="1" x14ac:dyDescent="0.3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77"/>
      <c r="Y17" s="37"/>
      <c r="Z17" s="37"/>
      <c r="AA17" s="37"/>
      <c r="AB17" s="37"/>
      <c r="AC17" s="37"/>
    </row>
    <row r="18" spans="1:29" ht="18.75" x14ac:dyDescent="0.3">
      <c r="A18" s="39"/>
      <c r="B18" s="40" t="s">
        <v>94</v>
      </c>
      <c r="C18" s="40"/>
      <c r="D18" s="41"/>
      <c r="E18" s="42"/>
      <c r="F18" s="37"/>
      <c r="G18" s="39"/>
      <c r="H18" s="40" t="s">
        <v>95</v>
      </c>
      <c r="I18" s="40"/>
      <c r="J18" s="41"/>
      <c r="K18" s="42"/>
      <c r="L18" s="37"/>
      <c r="M18" s="39"/>
      <c r="N18" s="40" t="s">
        <v>96</v>
      </c>
      <c r="O18" s="40"/>
      <c r="P18" s="41"/>
      <c r="Q18" s="42"/>
      <c r="R18" s="37"/>
      <c r="S18" s="39"/>
      <c r="T18" s="40" t="s">
        <v>97</v>
      </c>
      <c r="U18" s="40"/>
      <c r="V18" s="41"/>
      <c r="W18" s="42"/>
      <c r="X18" s="37"/>
      <c r="Y18" s="39"/>
      <c r="Z18" s="40" t="s">
        <v>98</v>
      </c>
      <c r="AA18" s="40"/>
      <c r="AB18" s="41"/>
      <c r="AC18" s="42"/>
    </row>
    <row r="19" spans="1:29" ht="18.75" x14ac:dyDescent="0.3">
      <c r="A19" s="48">
        <v>50</v>
      </c>
      <c r="B19" s="49"/>
      <c r="C19" s="50"/>
      <c r="D19" s="51"/>
      <c r="E19" s="52"/>
      <c r="F19" s="37"/>
      <c r="G19" s="48">
        <v>50</v>
      </c>
      <c r="H19" s="49"/>
      <c r="I19" s="50"/>
      <c r="J19" s="51"/>
      <c r="K19" s="52"/>
      <c r="L19" s="37"/>
      <c r="M19" s="48">
        <v>50</v>
      </c>
      <c r="N19" s="49"/>
      <c r="O19" s="50"/>
      <c r="P19" s="51"/>
      <c r="Q19" s="52"/>
      <c r="R19" s="37"/>
      <c r="S19" s="48">
        <v>50</v>
      </c>
      <c r="T19" s="49"/>
      <c r="U19" s="50"/>
      <c r="V19" s="51"/>
      <c r="W19" s="52"/>
      <c r="X19" s="37"/>
      <c r="Y19" s="48">
        <v>50</v>
      </c>
      <c r="Z19" s="49"/>
      <c r="AA19" s="50"/>
      <c r="AB19" s="51"/>
      <c r="AC19" s="52"/>
    </row>
    <row r="20" spans="1:29" ht="18.75" x14ac:dyDescent="0.3">
      <c r="A20" s="57">
        <v>1</v>
      </c>
      <c r="B20" s="58">
        <v>1</v>
      </c>
      <c r="C20" s="59"/>
      <c r="D20" s="68">
        <v>16</v>
      </c>
      <c r="E20" s="69" t="s">
        <v>99</v>
      </c>
      <c r="F20" s="37"/>
      <c r="G20" s="57">
        <v>1</v>
      </c>
      <c r="H20" s="58">
        <v>1</v>
      </c>
      <c r="I20" s="59"/>
      <c r="J20" s="60">
        <v>16</v>
      </c>
      <c r="K20" s="61">
        <v>1</v>
      </c>
      <c r="L20" s="37"/>
      <c r="M20" s="57" t="s">
        <v>160</v>
      </c>
      <c r="N20" s="58">
        <v>1</v>
      </c>
      <c r="O20" s="59"/>
      <c r="P20" s="60">
        <v>16</v>
      </c>
      <c r="Q20" s="78">
        <v>1</v>
      </c>
      <c r="R20" s="37"/>
      <c r="S20" s="57" t="s">
        <v>160</v>
      </c>
      <c r="T20" s="58">
        <v>1</v>
      </c>
      <c r="U20" s="59"/>
      <c r="V20" s="60">
        <v>16</v>
      </c>
      <c r="W20" s="61">
        <v>1</v>
      </c>
      <c r="X20" s="37"/>
      <c r="Y20" s="57" t="s">
        <v>160</v>
      </c>
      <c r="Z20" s="58">
        <v>1</v>
      </c>
      <c r="AA20" s="59"/>
      <c r="AB20" s="60">
        <v>16</v>
      </c>
      <c r="AC20" s="61">
        <v>1</v>
      </c>
    </row>
    <row r="21" spans="1:29" ht="18.75" x14ac:dyDescent="0.3">
      <c r="A21" s="57">
        <v>2</v>
      </c>
      <c r="B21" s="58">
        <v>1</v>
      </c>
      <c r="C21" s="63"/>
      <c r="D21" s="60">
        <v>17</v>
      </c>
      <c r="E21" s="61">
        <v>1</v>
      </c>
      <c r="F21" s="37"/>
      <c r="G21" s="57">
        <v>2</v>
      </c>
      <c r="H21" s="58">
        <v>1</v>
      </c>
      <c r="I21" s="63"/>
      <c r="J21" s="60">
        <v>17</v>
      </c>
      <c r="K21" s="61">
        <v>1</v>
      </c>
      <c r="L21" s="37"/>
      <c r="M21" s="79">
        <v>2</v>
      </c>
      <c r="N21" s="80" t="s">
        <v>69</v>
      </c>
      <c r="O21" s="63"/>
      <c r="P21" s="81">
        <v>17</v>
      </c>
      <c r="Q21" s="82" t="s">
        <v>100</v>
      </c>
      <c r="R21" s="37"/>
      <c r="S21" s="57" t="s">
        <v>161</v>
      </c>
      <c r="T21" s="58">
        <v>1</v>
      </c>
      <c r="U21" s="63"/>
      <c r="V21" s="60">
        <v>17</v>
      </c>
      <c r="W21" s="61">
        <v>1</v>
      </c>
      <c r="X21" s="37"/>
      <c r="Y21" s="57" t="s">
        <v>161</v>
      </c>
      <c r="Z21" s="58">
        <v>1</v>
      </c>
      <c r="AA21" s="63"/>
      <c r="AB21" s="60">
        <v>17</v>
      </c>
      <c r="AC21" s="61">
        <v>1</v>
      </c>
    </row>
    <row r="22" spans="1:29" ht="18.75" x14ac:dyDescent="0.3">
      <c r="A22" s="57">
        <v>3</v>
      </c>
      <c r="B22" s="58">
        <v>1</v>
      </c>
      <c r="C22" s="63"/>
      <c r="D22" s="60">
        <v>18</v>
      </c>
      <c r="E22" s="61">
        <v>1</v>
      </c>
      <c r="F22" s="37"/>
      <c r="G22" s="57">
        <v>3</v>
      </c>
      <c r="H22" s="58">
        <v>1</v>
      </c>
      <c r="I22" s="63"/>
      <c r="J22" s="60">
        <v>18</v>
      </c>
      <c r="K22" s="61">
        <v>1</v>
      </c>
      <c r="L22" s="37"/>
      <c r="M22" s="57">
        <v>3</v>
      </c>
      <c r="N22" s="58">
        <v>1</v>
      </c>
      <c r="O22" s="63"/>
      <c r="P22" s="60">
        <v>18</v>
      </c>
      <c r="Q22" s="78">
        <v>1</v>
      </c>
      <c r="R22" s="37"/>
      <c r="S22" s="57" t="s">
        <v>162</v>
      </c>
      <c r="T22" s="58">
        <v>1</v>
      </c>
      <c r="U22" s="63"/>
      <c r="V22" s="60">
        <v>18</v>
      </c>
      <c r="W22" s="61">
        <v>1</v>
      </c>
      <c r="X22" s="37"/>
      <c r="Y22" s="57" t="s">
        <v>162</v>
      </c>
      <c r="Z22" s="58">
        <v>1</v>
      </c>
      <c r="AA22" s="63"/>
      <c r="AB22" s="60">
        <v>18</v>
      </c>
      <c r="AC22" s="61">
        <v>1</v>
      </c>
    </row>
    <row r="23" spans="1:29" ht="18.75" x14ac:dyDescent="0.3">
      <c r="A23" s="57">
        <v>4</v>
      </c>
      <c r="B23" s="58">
        <v>1</v>
      </c>
      <c r="C23" s="63"/>
      <c r="D23" s="60">
        <v>19</v>
      </c>
      <c r="E23" s="61">
        <v>1</v>
      </c>
      <c r="F23" s="37"/>
      <c r="G23" s="57">
        <v>4</v>
      </c>
      <c r="H23" s="58">
        <v>1</v>
      </c>
      <c r="I23" s="63"/>
      <c r="J23" s="60">
        <v>19</v>
      </c>
      <c r="K23" s="61">
        <v>1</v>
      </c>
      <c r="L23" s="37"/>
      <c r="M23" s="57">
        <v>4</v>
      </c>
      <c r="N23" s="58">
        <v>1</v>
      </c>
      <c r="O23" s="63"/>
      <c r="P23" s="60">
        <v>19</v>
      </c>
      <c r="Q23" s="78">
        <v>1</v>
      </c>
      <c r="R23" s="37"/>
      <c r="S23" s="57" t="s">
        <v>163</v>
      </c>
      <c r="T23" s="58">
        <v>1</v>
      </c>
      <c r="U23" s="63"/>
      <c r="V23" s="60">
        <v>19</v>
      </c>
      <c r="W23" s="61">
        <v>1</v>
      </c>
      <c r="X23" s="37"/>
      <c r="Y23" s="57" t="s">
        <v>164</v>
      </c>
      <c r="Z23" s="58">
        <v>1</v>
      </c>
      <c r="AA23" s="63"/>
      <c r="AB23" s="60">
        <v>19</v>
      </c>
      <c r="AC23" s="61">
        <v>1</v>
      </c>
    </row>
    <row r="24" spans="1:29" ht="18.75" x14ac:dyDescent="0.3">
      <c r="A24" s="57">
        <v>5</v>
      </c>
      <c r="B24" s="58">
        <v>1</v>
      </c>
      <c r="C24" s="63"/>
      <c r="D24" s="60">
        <v>20</v>
      </c>
      <c r="E24" s="61">
        <v>1</v>
      </c>
      <c r="F24" s="37"/>
      <c r="G24" s="57">
        <v>5</v>
      </c>
      <c r="H24" s="58">
        <v>1</v>
      </c>
      <c r="I24" s="63"/>
      <c r="J24" s="60">
        <v>20</v>
      </c>
      <c r="K24" s="61">
        <v>1</v>
      </c>
      <c r="L24" s="37"/>
      <c r="M24" s="57">
        <v>5</v>
      </c>
      <c r="N24" s="58">
        <v>1</v>
      </c>
      <c r="O24" s="63"/>
      <c r="P24" s="60">
        <v>20</v>
      </c>
      <c r="Q24" s="78">
        <v>1</v>
      </c>
      <c r="R24" s="37"/>
      <c r="S24" s="57">
        <v>5</v>
      </c>
      <c r="T24" s="58">
        <v>1</v>
      </c>
      <c r="U24" s="63"/>
      <c r="V24" s="60">
        <v>20</v>
      </c>
      <c r="W24" s="61">
        <v>1</v>
      </c>
      <c r="X24" s="37"/>
      <c r="Y24" s="57">
        <v>5</v>
      </c>
      <c r="Z24" s="58">
        <v>1</v>
      </c>
      <c r="AA24" s="63"/>
      <c r="AB24" s="60">
        <v>20</v>
      </c>
      <c r="AC24" s="61">
        <v>1</v>
      </c>
    </row>
    <row r="25" spans="1:29" ht="18.75" x14ac:dyDescent="0.3">
      <c r="A25" s="57">
        <v>6</v>
      </c>
      <c r="B25" s="58">
        <v>1</v>
      </c>
      <c r="C25" s="63"/>
      <c r="D25" s="60">
        <v>21</v>
      </c>
      <c r="E25" s="61">
        <v>1</v>
      </c>
      <c r="F25" s="37"/>
      <c r="G25" s="57">
        <v>6</v>
      </c>
      <c r="H25" s="58">
        <v>1</v>
      </c>
      <c r="I25" s="63"/>
      <c r="J25" s="60">
        <v>21</v>
      </c>
      <c r="K25" s="61">
        <v>1</v>
      </c>
      <c r="L25" s="37"/>
      <c r="M25" s="57">
        <v>6</v>
      </c>
      <c r="N25" s="58">
        <v>1</v>
      </c>
      <c r="O25" s="63"/>
      <c r="P25" s="60">
        <v>21</v>
      </c>
      <c r="Q25" s="78">
        <v>1</v>
      </c>
      <c r="R25" s="37"/>
      <c r="S25" s="57">
        <v>6</v>
      </c>
      <c r="T25" s="58">
        <v>1</v>
      </c>
      <c r="U25" s="63"/>
      <c r="V25" s="60">
        <v>21</v>
      </c>
      <c r="W25" s="61">
        <v>1</v>
      </c>
      <c r="X25" s="37"/>
      <c r="Y25" s="57">
        <v>6</v>
      </c>
      <c r="Z25" s="58">
        <v>1</v>
      </c>
      <c r="AA25" s="63"/>
      <c r="AB25" s="60">
        <v>21</v>
      </c>
      <c r="AC25" s="61">
        <v>1</v>
      </c>
    </row>
    <row r="26" spans="1:29" ht="18.75" x14ac:dyDescent="0.3">
      <c r="A26" s="57">
        <v>7</v>
      </c>
      <c r="B26" s="58">
        <v>1</v>
      </c>
      <c r="C26" s="63"/>
      <c r="D26" s="81">
        <v>22</v>
      </c>
      <c r="E26" s="83" t="s">
        <v>101</v>
      </c>
      <c r="F26" s="37"/>
      <c r="G26" s="79">
        <v>7</v>
      </c>
      <c r="H26" s="80" t="s">
        <v>69</v>
      </c>
      <c r="I26" s="63"/>
      <c r="J26" s="60">
        <v>22</v>
      </c>
      <c r="K26" s="61">
        <v>1</v>
      </c>
      <c r="L26" s="37"/>
      <c r="M26" s="57">
        <v>7</v>
      </c>
      <c r="N26" s="58">
        <v>1</v>
      </c>
      <c r="O26" s="63"/>
      <c r="P26" s="60">
        <v>22</v>
      </c>
      <c r="Q26" s="78">
        <v>1</v>
      </c>
      <c r="R26" s="37"/>
      <c r="S26" s="57">
        <v>7</v>
      </c>
      <c r="T26" s="58">
        <v>1</v>
      </c>
      <c r="U26" s="63"/>
      <c r="V26" s="60">
        <v>22</v>
      </c>
      <c r="W26" s="61">
        <v>1</v>
      </c>
      <c r="X26" s="37"/>
      <c r="Y26" s="57">
        <v>7</v>
      </c>
      <c r="Z26" s="58">
        <v>1</v>
      </c>
      <c r="AA26" s="63"/>
      <c r="AB26" s="81">
        <v>22</v>
      </c>
      <c r="AC26" s="83" t="s">
        <v>102</v>
      </c>
    </row>
    <row r="27" spans="1:29" ht="18.75" x14ac:dyDescent="0.3">
      <c r="A27" s="84">
        <v>8</v>
      </c>
      <c r="B27" s="85">
        <v>1</v>
      </c>
      <c r="C27" s="63"/>
      <c r="D27" s="86">
        <v>23</v>
      </c>
      <c r="E27" s="87">
        <v>1</v>
      </c>
      <c r="F27" s="37"/>
      <c r="G27" s="84">
        <v>8</v>
      </c>
      <c r="H27" s="85">
        <v>1</v>
      </c>
      <c r="I27" s="63"/>
      <c r="J27" s="86">
        <v>23</v>
      </c>
      <c r="K27" s="87">
        <v>1</v>
      </c>
      <c r="L27" s="37"/>
      <c r="M27" s="84">
        <v>8</v>
      </c>
      <c r="N27" s="85">
        <v>1</v>
      </c>
      <c r="O27" s="63"/>
      <c r="P27" s="86">
        <v>23</v>
      </c>
      <c r="Q27" s="88">
        <v>1</v>
      </c>
      <c r="R27" s="37"/>
      <c r="S27" s="84">
        <v>8</v>
      </c>
      <c r="T27" s="85">
        <v>1</v>
      </c>
      <c r="U27" s="63"/>
      <c r="V27" s="86"/>
      <c r="W27" s="87"/>
      <c r="X27" s="37"/>
      <c r="Y27" s="84">
        <v>8</v>
      </c>
      <c r="Z27" s="85">
        <v>1</v>
      </c>
      <c r="AA27" s="63"/>
      <c r="AB27" s="86">
        <v>23</v>
      </c>
      <c r="AC27" s="87">
        <v>1</v>
      </c>
    </row>
    <row r="28" spans="1:29" ht="18.75" x14ac:dyDescent="0.3">
      <c r="A28" s="57">
        <v>9</v>
      </c>
      <c r="B28" s="54">
        <v>1</v>
      </c>
      <c r="C28" s="62"/>
      <c r="D28" s="54">
        <v>24</v>
      </c>
      <c r="E28" s="61">
        <v>1</v>
      </c>
      <c r="F28" s="37"/>
      <c r="G28" s="57">
        <v>9</v>
      </c>
      <c r="H28" s="54">
        <v>1</v>
      </c>
      <c r="I28" s="62"/>
      <c r="J28" s="54">
        <v>24</v>
      </c>
      <c r="K28" s="61">
        <v>1</v>
      </c>
      <c r="L28" s="37"/>
      <c r="M28" s="57">
        <v>9</v>
      </c>
      <c r="N28" s="54">
        <v>1</v>
      </c>
      <c r="O28" s="62"/>
      <c r="P28" s="54">
        <v>24</v>
      </c>
      <c r="Q28" s="78">
        <v>1</v>
      </c>
      <c r="R28" s="37"/>
      <c r="S28" s="57">
        <v>9</v>
      </c>
      <c r="T28" s="54">
        <v>1</v>
      </c>
      <c r="U28" s="62"/>
      <c r="V28" s="54"/>
      <c r="W28" s="61"/>
      <c r="X28" s="37"/>
      <c r="Y28" s="57">
        <v>9</v>
      </c>
      <c r="Z28" s="54">
        <v>1</v>
      </c>
      <c r="AA28" s="62"/>
      <c r="AB28" s="54"/>
      <c r="AC28" s="61"/>
    </row>
    <row r="29" spans="1:29" ht="18.75" x14ac:dyDescent="0.3">
      <c r="A29" s="57">
        <v>10</v>
      </c>
      <c r="B29" s="54">
        <v>1</v>
      </c>
      <c r="C29" s="62"/>
      <c r="D29" s="54">
        <v>25</v>
      </c>
      <c r="E29" s="61">
        <v>1</v>
      </c>
      <c r="F29" s="37"/>
      <c r="G29" s="57">
        <v>10</v>
      </c>
      <c r="H29" s="54">
        <v>1</v>
      </c>
      <c r="I29" s="62"/>
      <c r="J29" s="54">
        <v>25</v>
      </c>
      <c r="K29" s="61">
        <v>1</v>
      </c>
      <c r="L29" s="37"/>
      <c r="M29" s="57">
        <v>10</v>
      </c>
      <c r="N29" s="54">
        <v>1</v>
      </c>
      <c r="O29" s="62"/>
      <c r="P29" s="54">
        <v>25</v>
      </c>
      <c r="Q29" s="78">
        <v>1</v>
      </c>
      <c r="R29" s="37"/>
      <c r="S29" s="57">
        <v>10</v>
      </c>
      <c r="T29" s="54">
        <v>1</v>
      </c>
      <c r="U29" s="62"/>
      <c r="V29" s="54"/>
      <c r="W29" s="61"/>
      <c r="X29" s="37"/>
      <c r="Y29" s="57">
        <v>10</v>
      </c>
      <c r="Z29" s="54">
        <v>1</v>
      </c>
      <c r="AA29" s="62"/>
      <c r="AB29" s="54"/>
      <c r="AC29" s="61"/>
    </row>
    <row r="30" spans="1:29" ht="18.75" x14ac:dyDescent="0.3">
      <c r="A30" s="57">
        <v>11</v>
      </c>
      <c r="B30" s="54">
        <v>1</v>
      </c>
      <c r="C30" s="62"/>
      <c r="D30" s="89">
        <v>26</v>
      </c>
      <c r="E30" s="69" t="s">
        <v>68</v>
      </c>
      <c r="F30" s="37"/>
      <c r="G30" s="57">
        <v>11</v>
      </c>
      <c r="H30" s="54">
        <v>1</v>
      </c>
      <c r="I30" s="62"/>
      <c r="J30" s="54">
        <v>26</v>
      </c>
      <c r="K30" s="61">
        <v>1</v>
      </c>
      <c r="L30" s="37"/>
      <c r="M30" s="57">
        <v>11</v>
      </c>
      <c r="N30" s="54">
        <v>1</v>
      </c>
      <c r="O30" s="62"/>
      <c r="P30" s="54">
        <v>26</v>
      </c>
      <c r="Q30" s="78">
        <v>1</v>
      </c>
      <c r="R30" s="37"/>
      <c r="S30" s="57">
        <v>11</v>
      </c>
      <c r="T30" s="54">
        <v>1</v>
      </c>
      <c r="U30" s="62"/>
      <c r="V30" s="54"/>
      <c r="W30" s="61"/>
      <c r="X30" s="37"/>
      <c r="Y30" s="57">
        <v>11</v>
      </c>
      <c r="Z30" s="54">
        <v>1</v>
      </c>
      <c r="AA30" s="62"/>
      <c r="AB30" s="54"/>
      <c r="AC30" s="61"/>
    </row>
    <row r="31" spans="1:29" ht="18.75" x14ac:dyDescent="0.3">
      <c r="A31" s="57">
        <v>12</v>
      </c>
      <c r="B31" s="54">
        <v>1</v>
      </c>
      <c r="C31" s="62"/>
      <c r="D31" s="54">
        <v>27</v>
      </c>
      <c r="E31" s="61">
        <v>1</v>
      </c>
      <c r="F31" s="37"/>
      <c r="G31" s="57">
        <v>12</v>
      </c>
      <c r="H31" s="54">
        <v>1</v>
      </c>
      <c r="I31" s="62"/>
      <c r="J31" s="54">
        <v>27</v>
      </c>
      <c r="K31" s="61">
        <v>1</v>
      </c>
      <c r="L31" s="37"/>
      <c r="M31" s="57">
        <v>12</v>
      </c>
      <c r="N31" s="54">
        <v>1</v>
      </c>
      <c r="O31" s="62"/>
      <c r="P31" s="54">
        <v>27</v>
      </c>
      <c r="Q31" s="78">
        <v>1</v>
      </c>
      <c r="R31" s="37"/>
      <c r="S31" s="57">
        <v>12</v>
      </c>
      <c r="T31" s="54">
        <v>1</v>
      </c>
      <c r="U31" s="62"/>
      <c r="V31" s="54"/>
      <c r="W31" s="61"/>
      <c r="X31" s="37"/>
      <c r="Y31" s="57">
        <v>12</v>
      </c>
      <c r="Z31" s="54">
        <v>1</v>
      </c>
      <c r="AA31" s="62"/>
      <c r="AB31" s="54"/>
      <c r="AC31" s="61"/>
    </row>
    <row r="32" spans="1:29" ht="18.75" x14ac:dyDescent="0.3">
      <c r="A32" s="57">
        <v>13</v>
      </c>
      <c r="B32" s="54">
        <v>1</v>
      </c>
      <c r="C32" s="62"/>
      <c r="D32" s="54">
        <v>28</v>
      </c>
      <c r="E32" s="61">
        <v>1</v>
      </c>
      <c r="F32" s="37"/>
      <c r="G32" s="57">
        <v>13</v>
      </c>
      <c r="H32" s="54">
        <v>1</v>
      </c>
      <c r="I32" s="62"/>
      <c r="J32" s="54">
        <v>28</v>
      </c>
      <c r="K32" s="61">
        <v>1</v>
      </c>
      <c r="L32" s="37"/>
      <c r="M32" s="57">
        <v>13</v>
      </c>
      <c r="N32" s="54">
        <v>1</v>
      </c>
      <c r="O32" s="62"/>
      <c r="P32" s="54"/>
      <c r="Q32" s="78"/>
      <c r="R32" s="37"/>
      <c r="S32" s="57">
        <v>13</v>
      </c>
      <c r="T32" s="54">
        <v>1</v>
      </c>
      <c r="U32" s="62"/>
      <c r="V32" s="54"/>
      <c r="W32" s="61"/>
      <c r="X32" s="37"/>
      <c r="Y32" s="57">
        <v>13</v>
      </c>
      <c r="Z32" s="54">
        <v>1</v>
      </c>
      <c r="AA32" s="62"/>
      <c r="AB32" s="54"/>
      <c r="AC32" s="61"/>
    </row>
    <row r="33" spans="1:29" ht="18.75" x14ac:dyDescent="0.3">
      <c r="A33" s="57">
        <v>14</v>
      </c>
      <c r="B33" s="54">
        <v>1</v>
      </c>
      <c r="C33" s="62"/>
      <c r="D33" s="54">
        <v>29</v>
      </c>
      <c r="E33" s="61">
        <v>1</v>
      </c>
      <c r="F33" s="37"/>
      <c r="G33" s="57">
        <v>14</v>
      </c>
      <c r="H33" s="54">
        <v>1</v>
      </c>
      <c r="I33" s="62"/>
      <c r="J33" s="54">
        <v>29</v>
      </c>
      <c r="K33" s="61">
        <v>1</v>
      </c>
      <c r="L33" s="37"/>
      <c r="M33" s="57">
        <v>14</v>
      </c>
      <c r="N33" s="54">
        <v>1</v>
      </c>
      <c r="O33" s="62"/>
      <c r="P33" s="54"/>
      <c r="Q33" s="78"/>
      <c r="R33" s="37"/>
      <c r="S33" s="57">
        <v>14</v>
      </c>
      <c r="T33" s="54">
        <v>1</v>
      </c>
      <c r="U33" s="62"/>
      <c r="V33" s="54"/>
      <c r="W33" s="61"/>
      <c r="X33" s="37"/>
      <c r="Y33" s="57">
        <v>14</v>
      </c>
      <c r="Z33" s="54">
        <v>1</v>
      </c>
      <c r="AA33" s="62"/>
      <c r="AB33" s="54"/>
      <c r="AC33" s="61"/>
    </row>
    <row r="34" spans="1:29" ht="19.5" thickBot="1" x14ac:dyDescent="0.35">
      <c r="A34" s="90">
        <v>15</v>
      </c>
      <c r="B34" s="91" t="s">
        <v>99</v>
      </c>
      <c r="C34" s="92"/>
      <c r="D34" s="93">
        <v>30</v>
      </c>
      <c r="E34" s="74">
        <v>1</v>
      </c>
      <c r="F34" s="37"/>
      <c r="G34" s="70">
        <v>15</v>
      </c>
      <c r="H34" s="93">
        <v>1</v>
      </c>
      <c r="I34" s="94"/>
      <c r="J34" s="93">
        <v>30</v>
      </c>
      <c r="K34" s="74">
        <v>1</v>
      </c>
      <c r="L34" s="37"/>
      <c r="M34" s="70">
        <v>15</v>
      </c>
      <c r="N34" s="93">
        <v>1</v>
      </c>
      <c r="O34" s="94"/>
      <c r="P34" s="93"/>
      <c r="Q34" s="95"/>
      <c r="R34" s="37"/>
      <c r="S34" s="70">
        <v>15</v>
      </c>
      <c r="T34" s="93">
        <v>1</v>
      </c>
      <c r="U34" s="94"/>
      <c r="V34" s="93"/>
      <c r="W34" s="74"/>
      <c r="X34" s="37"/>
      <c r="Y34" s="70">
        <v>15</v>
      </c>
      <c r="Z34" s="93">
        <v>1</v>
      </c>
      <c r="AA34" s="94"/>
      <c r="AB34" s="93"/>
      <c r="AC34" s="74"/>
    </row>
    <row r="35" spans="1:29" ht="18.75" x14ac:dyDescent="0.3">
      <c r="A35" s="38"/>
      <c r="B35" s="37"/>
      <c r="C35" s="37"/>
      <c r="D35" s="38"/>
      <c r="E35" s="110"/>
      <c r="F35" s="37"/>
      <c r="G35" s="38"/>
      <c r="H35" s="37"/>
      <c r="I35" s="37"/>
      <c r="J35" s="38"/>
      <c r="K35" s="110"/>
      <c r="L35" s="37"/>
      <c r="M35" s="37"/>
      <c r="N35" s="37"/>
      <c r="O35" s="37"/>
      <c r="P35" s="37"/>
      <c r="Q35" s="110"/>
      <c r="R35" s="37"/>
      <c r="S35" s="37"/>
      <c r="T35" s="37"/>
      <c r="U35" s="37"/>
      <c r="V35" s="37"/>
      <c r="W35" s="110"/>
      <c r="X35" s="37"/>
      <c r="Y35" s="37"/>
      <c r="Z35" s="37"/>
      <c r="AA35" s="37"/>
      <c r="AB35" s="110"/>
      <c r="AC35" s="37"/>
    </row>
    <row r="36" spans="1:29" ht="18.75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spans="1:29" ht="18.75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8"/>
      <c r="O37" s="37"/>
      <c r="P37" s="37"/>
      <c r="Q37" s="38"/>
      <c r="R37" s="37"/>
      <c r="S37" s="37"/>
      <c r="T37" s="38"/>
      <c r="U37" s="37"/>
      <c r="V37" s="37"/>
      <c r="W37" s="38"/>
      <c r="X37" s="37"/>
      <c r="Y37" s="37"/>
      <c r="Z37" s="37"/>
      <c r="AA37" s="37"/>
      <c r="AB37" s="37"/>
      <c r="AC37" s="37"/>
    </row>
    <row r="38" spans="1:29" ht="18.75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8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spans="1:29" ht="18.75" x14ac:dyDescent="0.3">
      <c r="A39" s="37"/>
      <c r="B39" s="37"/>
      <c r="C39" s="37"/>
      <c r="D39" s="37"/>
      <c r="E39" s="37"/>
      <c r="F39" s="37"/>
      <c r="G39" s="37"/>
      <c r="H39" s="37"/>
      <c r="I39" s="96"/>
      <c r="J39" s="96"/>
      <c r="K39" s="96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spans="1:29" ht="18.75" x14ac:dyDescent="0.3">
      <c r="A40" s="97">
        <v>50</v>
      </c>
      <c r="B40" s="37"/>
      <c r="C40" s="37"/>
      <c r="D40" s="37"/>
      <c r="E40" s="37"/>
      <c r="F40" s="37"/>
      <c r="G40" s="37"/>
      <c r="H40" s="37"/>
      <c r="I40" s="96"/>
      <c r="J40" s="96"/>
      <c r="K40" s="96"/>
      <c r="L40" s="37"/>
      <c r="M40" s="37"/>
      <c r="N40" s="37"/>
      <c r="O40" s="37"/>
      <c r="P40" s="37"/>
      <c r="Q40" s="37"/>
      <c r="R40" s="75"/>
      <c r="S40" s="75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spans="1:29" ht="18.75" x14ac:dyDescent="0.3">
      <c r="A41" s="62" t="s">
        <v>103</v>
      </c>
      <c r="B41" s="62"/>
      <c r="C41" s="54">
        <v>1</v>
      </c>
      <c r="D41" s="37"/>
      <c r="E41" s="62" t="s">
        <v>104</v>
      </c>
      <c r="F41" s="62"/>
      <c r="G41" s="54">
        <v>1</v>
      </c>
      <c r="H41" s="37"/>
      <c r="I41" s="62" t="s">
        <v>105</v>
      </c>
      <c r="J41" s="62"/>
      <c r="K41" s="54">
        <v>1</v>
      </c>
      <c r="L41" s="37"/>
      <c r="M41" s="62" t="s">
        <v>106</v>
      </c>
      <c r="N41" s="62"/>
      <c r="O41" s="54">
        <v>1</v>
      </c>
      <c r="P41" s="98"/>
      <c r="Q41" s="62" t="s">
        <v>70</v>
      </c>
      <c r="R41" s="62"/>
      <c r="S41" s="54">
        <v>1</v>
      </c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1:29" ht="18.75" x14ac:dyDescent="0.3">
      <c r="A42" s="62" t="s">
        <v>107</v>
      </c>
      <c r="B42" s="62"/>
      <c r="C42" s="54">
        <v>1</v>
      </c>
      <c r="D42" s="37"/>
      <c r="E42" s="62" t="s">
        <v>108</v>
      </c>
      <c r="F42" s="62"/>
      <c r="G42" s="54">
        <v>1</v>
      </c>
      <c r="H42" s="37"/>
      <c r="I42" s="62" t="s">
        <v>109</v>
      </c>
      <c r="J42" s="62"/>
      <c r="K42" s="54">
        <v>1</v>
      </c>
      <c r="L42" s="37"/>
      <c r="M42" s="62" t="s">
        <v>110</v>
      </c>
      <c r="N42" s="62"/>
      <c r="O42" s="54">
        <v>1</v>
      </c>
      <c r="P42" s="37"/>
      <c r="Q42" s="62" t="s">
        <v>111</v>
      </c>
      <c r="R42" s="62"/>
      <c r="S42" s="54">
        <v>1</v>
      </c>
      <c r="T42" s="37"/>
      <c r="U42" s="37"/>
      <c r="V42" s="136" t="s">
        <v>112</v>
      </c>
      <c r="W42" s="136"/>
      <c r="X42" s="62"/>
      <c r="Y42" s="99">
        <v>100</v>
      </c>
      <c r="Z42" s="37"/>
      <c r="AA42" s="37"/>
      <c r="AB42" s="37"/>
      <c r="AC42" s="37"/>
    </row>
    <row r="43" spans="1:29" ht="18.75" x14ac:dyDescent="0.3">
      <c r="A43" s="62" t="s">
        <v>113</v>
      </c>
      <c r="B43" s="62"/>
      <c r="C43" s="54">
        <v>1</v>
      </c>
      <c r="D43" s="37"/>
      <c r="E43" s="62" t="s">
        <v>114</v>
      </c>
      <c r="F43" s="62"/>
      <c r="G43" s="54">
        <v>1</v>
      </c>
      <c r="H43" s="37"/>
      <c r="I43" s="62" t="s">
        <v>115</v>
      </c>
      <c r="J43" s="62"/>
      <c r="K43" s="54">
        <v>1</v>
      </c>
      <c r="L43" s="37"/>
      <c r="M43" s="62" t="s">
        <v>116</v>
      </c>
      <c r="N43" s="62"/>
      <c r="O43" s="54">
        <v>1</v>
      </c>
      <c r="P43" s="100"/>
      <c r="Q43" s="62" t="s">
        <v>117</v>
      </c>
      <c r="R43" s="62"/>
      <c r="S43" s="54">
        <v>1</v>
      </c>
      <c r="T43" s="37"/>
      <c r="U43" s="37"/>
      <c r="V43" s="136"/>
      <c r="W43" s="136"/>
      <c r="X43" s="62"/>
      <c r="Y43" s="101"/>
      <c r="Z43" s="37"/>
      <c r="AA43" s="37"/>
      <c r="AB43" s="37"/>
      <c r="AC43" s="37"/>
    </row>
    <row r="44" spans="1:29" ht="18.75" x14ac:dyDescent="0.3">
      <c r="A44" s="62" t="s">
        <v>118</v>
      </c>
      <c r="B44" s="62"/>
      <c r="C44" s="54">
        <v>1</v>
      </c>
      <c r="D44" s="37"/>
      <c r="E44" s="62" t="s">
        <v>119</v>
      </c>
      <c r="F44" s="62"/>
      <c r="G44" s="54">
        <v>1</v>
      </c>
      <c r="H44" s="37"/>
      <c r="I44" s="62" t="s">
        <v>120</v>
      </c>
      <c r="J44" s="62"/>
      <c r="K44" s="54">
        <v>1</v>
      </c>
      <c r="L44" s="37"/>
      <c r="M44" s="62" t="s">
        <v>121</v>
      </c>
      <c r="N44" s="62"/>
      <c r="O44" s="54">
        <v>1</v>
      </c>
      <c r="P44" s="37"/>
      <c r="Q44" s="62" t="s">
        <v>122</v>
      </c>
      <c r="R44" s="62"/>
      <c r="S44" s="54">
        <v>1</v>
      </c>
      <c r="T44" s="37"/>
      <c r="U44" s="37"/>
      <c r="V44" s="137"/>
      <c r="W44" s="137"/>
      <c r="X44" s="62"/>
      <c r="Y44" s="101"/>
      <c r="Z44" s="37"/>
      <c r="AA44" s="37"/>
      <c r="AB44" s="37"/>
      <c r="AC44" s="37"/>
    </row>
    <row r="45" spans="1:29" ht="18.75" x14ac:dyDescent="0.3">
      <c r="A45" s="62" t="s">
        <v>123</v>
      </c>
      <c r="B45" s="62"/>
      <c r="C45" s="54">
        <v>1</v>
      </c>
      <c r="D45" s="37"/>
      <c r="E45" s="62" t="s">
        <v>124</v>
      </c>
      <c r="F45" s="62"/>
      <c r="G45" s="54">
        <v>1</v>
      </c>
      <c r="H45" s="37"/>
      <c r="I45" s="62" t="s">
        <v>125</v>
      </c>
      <c r="J45" s="62"/>
      <c r="K45" s="54">
        <v>1</v>
      </c>
      <c r="L45" s="37"/>
      <c r="M45" s="62" t="s">
        <v>126</v>
      </c>
      <c r="N45" s="62"/>
      <c r="O45" s="54">
        <v>1</v>
      </c>
      <c r="P45" s="37"/>
      <c r="Q45" s="62" t="s">
        <v>127</v>
      </c>
      <c r="R45" s="62"/>
      <c r="S45" s="54">
        <v>1</v>
      </c>
      <c r="T45" s="37"/>
      <c r="U45" s="37"/>
      <c r="V45" s="137"/>
      <c r="W45" s="137"/>
      <c r="X45" s="62"/>
      <c r="Y45" s="62"/>
      <c r="Z45" s="37"/>
      <c r="AA45" s="37"/>
      <c r="AB45" s="37"/>
      <c r="AC45" s="37"/>
    </row>
    <row r="46" spans="1:29" ht="18.75" x14ac:dyDescent="0.3">
      <c r="A46" s="62" t="s">
        <v>128</v>
      </c>
      <c r="B46" s="62"/>
      <c r="C46" s="54">
        <v>1</v>
      </c>
      <c r="D46" s="37"/>
      <c r="E46" s="62" t="s">
        <v>129</v>
      </c>
      <c r="F46" s="62"/>
      <c r="G46" s="54">
        <v>1</v>
      </c>
      <c r="H46" s="37"/>
      <c r="I46" s="62" t="s">
        <v>130</v>
      </c>
      <c r="J46" s="62"/>
      <c r="K46" s="54">
        <v>1</v>
      </c>
      <c r="L46" s="37"/>
      <c r="M46" s="62" t="s">
        <v>131</v>
      </c>
      <c r="N46" s="62"/>
      <c r="O46" s="54">
        <v>1</v>
      </c>
      <c r="P46" s="37"/>
      <c r="Q46" s="62" t="s">
        <v>132</v>
      </c>
      <c r="R46" s="62"/>
      <c r="S46" s="54">
        <v>1</v>
      </c>
      <c r="T46" s="37"/>
      <c r="U46" s="37"/>
      <c r="V46" s="37"/>
      <c r="W46" s="37"/>
      <c r="X46" s="37"/>
      <c r="Y46" s="110">
        <f>Y42+Y43+Y44+Y45</f>
        <v>100</v>
      </c>
      <c r="Z46" s="37"/>
      <c r="AA46" s="37"/>
      <c r="AB46" s="37"/>
      <c r="AC46" s="37"/>
    </row>
    <row r="47" spans="1:29" ht="18.75" x14ac:dyDescent="0.3">
      <c r="A47" s="62" t="s">
        <v>133</v>
      </c>
      <c r="B47" s="62"/>
      <c r="C47" s="54">
        <v>1</v>
      </c>
      <c r="D47" s="37"/>
      <c r="E47" s="62" t="s">
        <v>134</v>
      </c>
      <c r="F47" s="62"/>
      <c r="G47" s="54">
        <v>1</v>
      </c>
      <c r="H47" s="37"/>
      <c r="I47" s="62" t="s">
        <v>135</v>
      </c>
      <c r="J47" s="62"/>
      <c r="K47" s="54">
        <v>1</v>
      </c>
      <c r="L47" s="37"/>
      <c r="M47" s="62" t="s">
        <v>136</v>
      </c>
      <c r="N47" s="62"/>
      <c r="O47" s="54">
        <v>1</v>
      </c>
      <c r="P47" s="37"/>
      <c r="Q47" s="62" t="s">
        <v>137</v>
      </c>
      <c r="R47" s="62"/>
      <c r="S47" s="54">
        <v>1</v>
      </c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spans="1:29" ht="18.75" x14ac:dyDescent="0.3">
      <c r="A48" s="62" t="s">
        <v>138</v>
      </c>
      <c r="B48" s="62"/>
      <c r="C48" s="54">
        <v>1</v>
      </c>
      <c r="D48" s="37"/>
      <c r="E48" s="62" t="s">
        <v>139</v>
      </c>
      <c r="F48" s="62"/>
      <c r="G48" s="54">
        <v>1</v>
      </c>
      <c r="H48" s="37"/>
      <c r="I48" s="62" t="s">
        <v>140</v>
      </c>
      <c r="J48" s="62"/>
      <c r="K48" s="54">
        <v>1</v>
      </c>
      <c r="L48" s="37"/>
      <c r="M48" s="62" t="s">
        <v>141</v>
      </c>
      <c r="N48" s="62"/>
      <c r="O48" s="54">
        <v>1</v>
      </c>
      <c r="P48" s="37"/>
      <c r="Q48" s="62" t="s">
        <v>142</v>
      </c>
      <c r="R48" s="62"/>
      <c r="S48" s="54">
        <v>1</v>
      </c>
      <c r="T48" s="37"/>
      <c r="U48" s="37"/>
      <c r="V48" s="36"/>
      <c r="W48" s="36"/>
      <c r="X48" s="36"/>
      <c r="Y48" s="124"/>
      <c r="Z48" s="37"/>
      <c r="AA48" s="37"/>
      <c r="AB48" s="37"/>
      <c r="AC48" s="37"/>
    </row>
    <row r="49" spans="1:29" ht="18.75" x14ac:dyDescent="0.3">
      <c r="A49" s="62" t="s">
        <v>143</v>
      </c>
      <c r="B49" s="62"/>
      <c r="C49" s="54">
        <v>1</v>
      </c>
      <c r="D49" s="37"/>
      <c r="E49" s="62" t="s">
        <v>144</v>
      </c>
      <c r="F49" s="62"/>
      <c r="G49" s="54">
        <v>1</v>
      </c>
      <c r="H49" s="37"/>
      <c r="I49" s="62" t="s">
        <v>145</v>
      </c>
      <c r="J49" s="62"/>
      <c r="K49" s="54">
        <v>1</v>
      </c>
      <c r="L49" s="37"/>
      <c r="M49" s="62" t="s">
        <v>146</v>
      </c>
      <c r="N49" s="62"/>
      <c r="O49" s="54">
        <v>1</v>
      </c>
      <c r="P49" s="37"/>
      <c r="Q49" s="62"/>
      <c r="R49" s="62"/>
      <c r="S49" s="54"/>
      <c r="T49" s="37"/>
      <c r="U49" s="37"/>
      <c r="V49" s="36"/>
      <c r="W49" s="36"/>
      <c r="X49" s="36"/>
      <c r="Y49" s="36"/>
      <c r="Z49" s="37"/>
      <c r="AA49" s="37"/>
      <c r="AB49" s="37"/>
      <c r="AC49" s="37"/>
    </row>
    <row r="50" spans="1:29" ht="18.75" x14ac:dyDescent="0.3">
      <c r="A50" s="62" t="s">
        <v>147</v>
      </c>
      <c r="B50" s="62"/>
      <c r="C50" s="54">
        <v>1</v>
      </c>
      <c r="D50" s="37"/>
      <c r="E50" s="62" t="s">
        <v>148</v>
      </c>
      <c r="F50" s="62"/>
      <c r="G50" s="54">
        <v>1</v>
      </c>
      <c r="H50" s="37"/>
      <c r="I50" s="62" t="s">
        <v>149</v>
      </c>
      <c r="J50" s="62"/>
      <c r="K50" s="54">
        <v>1</v>
      </c>
      <c r="L50" s="37"/>
      <c r="M50" s="62" t="s">
        <v>150</v>
      </c>
      <c r="N50" s="62"/>
      <c r="O50" s="54">
        <v>1</v>
      </c>
      <c r="P50" s="37"/>
      <c r="Q50" s="62"/>
      <c r="R50" s="62"/>
      <c r="S50" s="54"/>
      <c r="T50" s="37"/>
      <c r="U50" s="37"/>
      <c r="V50" s="36"/>
      <c r="W50" s="36"/>
      <c r="X50" s="36"/>
      <c r="Y50" s="36"/>
      <c r="Z50" s="37"/>
      <c r="AA50" s="37"/>
      <c r="AB50" s="37"/>
      <c r="AC50" s="37"/>
    </row>
    <row r="51" spans="1:29" ht="18.75" x14ac:dyDescent="0.3">
      <c r="A51" s="62" t="s">
        <v>151</v>
      </c>
      <c r="B51" s="62"/>
      <c r="C51" s="54">
        <v>1</v>
      </c>
      <c r="D51" s="37"/>
      <c r="E51" s="62" t="s">
        <v>152</v>
      </c>
      <c r="F51" s="62"/>
      <c r="G51" s="54">
        <v>1</v>
      </c>
      <c r="H51" s="37"/>
      <c r="I51" s="62" t="s">
        <v>153</v>
      </c>
      <c r="J51" s="62"/>
      <c r="K51" s="54">
        <v>1</v>
      </c>
      <c r="L51" s="37"/>
      <c r="M51" s="62" t="s">
        <v>154</v>
      </c>
      <c r="N51" s="62"/>
      <c r="O51" s="54">
        <v>1</v>
      </c>
      <c r="P51" s="37"/>
      <c r="Q51" s="62"/>
      <c r="R51" s="62"/>
      <c r="S51" s="54"/>
      <c r="T51" s="37"/>
      <c r="U51" s="37"/>
      <c r="V51" s="36"/>
      <c r="W51" s="36"/>
      <c r="X51" s="36"/>
      <c r="Y51" s="124"/>
      <c r="Z51" s="37"/>
      <c r="AA51" s="37"/>
      <c r="AB51" s="37"/>
      <c r="AC51" s="37"/>
    </row>
    <row r="52" spans="1:29" ht="18.75" x14ac:dyDescent="0.3">
      <c r="A52" s="62" t="s">
        <v>155</v>
      </c>
      <c r="B52" s="62"/>
      <c r="C52" s="54">
        <v>1</v>
      </c>
      <c r="D52" s="37"/>
      <c r="E52" s="62" t="s">
        <v>156</v>
      </c>
      <c r="F52" s="62"/>
      <c r="G52" s="54">
        <v>1</v>
      </c>
      <c r="H52" s="37"/>
      <c r="I52" s="62" t="s">
        <v>157</v>
      </c>
      <c r="J52" s="62"/>
      <c r="K52" s="54">
        <v>1</v>
      </c>
      <c r="L52" s="37"/>
      <c r="M52" s="62" t="s">
        <v>158</v>
      </c>
      <c r="N52" s="62"/>
      <c r="O52" s="54">
        <v>1</v>
      </c>
      <c r="P52" s="37"/>
      <c r="Q52" s="62"/>
      <c r="R52" s="62"/>
      <c r="S52" s="54"/>
      <c r="T52" s="37"/>
      <c r="U52" s="37"/>
      <c r="V52" s="36"/>
      <c r="W52" s="36"/>
      <c r="X52" s="36"/>
      <c r="Y52" s="36"/>
      <c r="Z52" s="37"/>
      <c r="AA52" s="37"/>
      <c r="AB52" s="37"/>
      <c r="AC52" s="37"/>
    </row>
    <row r="53" spans="1:29" ht="18.75" x14ac:dyDescent="0.3">
      <c r="A53" s="37"/>
      <c r="B53" s="37"/>
      <c r="C53" s="121"/>
      <c r="D53" s="121"/>
      <c r="E53" s="121"/>
      <c r="F53" s="121"/>
      <c r="G53" s="121"/>
      <c r="H53" s="121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6"/>
      <c r="W53" s="36"/>
      <c r="X53" s="36"/>
      <c r="Y53" s="124"/>
      <c r="Z53" s="37"/>
      <c r="AA53" s="37"/>
      <c r="AB53" s="37"/>
      <c r="AC53" s="37"/>
    </row>
    <row r="54" spans="1:29" ht="18.75" x14ac:dyDescent="0.3">
      <c r="A54" s="37"/>
      <c r="B54" s="37"/>
      <c r="C54" s="121"/>
      <c r="D54" s="121"/>
      <c r="E54" s="122"/>
      <c r="F54" s="121"/>
      <c r="G54" s="121"/>
      <c r="H54" s="121"/>
      <c r="I54" s="37"/>
      <c r="J54" s="37"/>
      <c r="K54" s="37"/>
      <c r="L54" s="37"/>
      <c r="M54" s="37"/>
      <c r="N54" s="37"/>
      <c r="O54" s="37"/>
      <c r="P54" s="100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:29" x14ac:dyDescent="0.25">
      <c r="C55" s="123"/>
      <c r="D55" s="123"/>
      <c r="E55" s="123"/>
      <c r="F55" s="123"/>
      <c r="G55" s="123"/>
      <c r="H55" s="123"/>
    </row>
    <row r="56" spans="1:29" ht="18.75" x14ac:dyDescent="0.3">
      <c r="A56" s="38"/>
      <c r="B56" s="37"/>
      <c r="C56" s="37"/>
      <c r="D56" s="38"/>
      <c r="E56" s="37"/>
      <c r="F56" s="50"/>
      <c r="G56" s="102"/>
      <c r="H56" s="50" t="s">
        <v>73</v>
      </c>
      <c r="I56" s="49"/>
      <c r="J56" s="103"/>
      <c r="K56" s="49"/>
      <c r="L56" s="49"/>
      <c r="M56" s="103"/>
      <c r="N56" s="50"/>
      <c r="O56" s="37"/>
      <c r="P56" s="38"/>
      <c r="Q56" s="37"/>
    </row>
    <row r="57" spans="1:29" ht="18" x14ac:dyDescent="0.25">
      <c r="A57" s="43">
        <v>50</v>
      </c>
      <c r="B57" s="44" t="s">
        <v>165</v>
      </c>
      <c r="C57" s="50"/>
      <c r="D57" s="43">
        <v>50</v>
      </c>
      <c r="E57" s="44" t="s">
        <v>166</v>
      </c>
      <c r="F57" s="50"/>
      <c r="G57" s="43">
        <v>50</v>
      </c>
      <c r="H57" s="44" t="s">
        <v>167</v>
      </c>
      <c r="I57" s="50"/>
      <c r="J57" s="43">
        <v>50</v>
      </c>
      <c r="K57" s="44" t="s">
        <v>168</v>
      </c>
      <c r="L57" s="50"/>
      <c r="M57" s="43">
        <v>50</v>
      </c>
      <c r="N57" s="44" t="s">
        <v>169</v>
      </c>
      <c r="O57" s="50"/>
      <c r="P57" s="104">
        <v>50</v>
      </c>
      <c r="Q57" s="105" t="s">
        <v>170</v>
      </c>
    </row>
    <row r="58" spans="1:29" ht="18.75" x14ac:dyDescent="0.3">
      <c r="A58" s="54">
        <v>1</v>
      </c>
      <c r="B58" s="54">
        <v>1</v>
      </c>
      <c r="C58" s="37"/>
      <c r="D58" s="54">
        <v>1</v>
      </c>
      <c r="E58" s="54">
        <v>1</v>
      </c>
      <c r="F58" s="37"/>
      <c r="G58" s="54">
        <v>1</v>
      </c>
      <c r="H58" s="54">
        <v>1</v>
      </c>
      <c r="I58" s="37"/>
      <c r="J58" s="54">
        <v>1</v>
      </c>
      <c r="K58" s="54">
        <v>1</v>
      </c>
      <c r="L58" s="37"/>
      <c r="M58" s="54">
        <v>1</v>
      </c>
      <c r="N58" s="54">
        <v>1</v>
      </c>
      <c r="O58" s="37"/>
      <c r="P58" s="54">
        <v>1</v>
      </c>
      <c r="Q58" s="54">
        <v>1</v>
      </c>
    </row>
    <row r="59" spans="1:29" ht="18.75" x14ac:dyDescent="0.3">
      <c r="A59" s="54">
        <v>2</v>
      </c>
      <c r="B59" s="54">
        <v>1</v>
      </c>
      <c r="C59" s="37"/>
      <c r="D59" s="54">
        <v>2</v>
      </c>
      <c r="E59" s="54">
        <v>1</v>
      </c>
      <c r="F59" s="37"/>
      <c r="G59" s="54">
        <v>2</v>
      </c>
      <c r="H59" s="54">
        <v>1</v>
      </c>
      <c r="I59" s="37"/>
      <c r="J59" s="54">
        <v>2</v>
      </c>
      <c r="K59" s="54">
        <v>1</v>
      </c>
      <c r="L59" s="37"/>
      <c r="M59" s="54">
        <v>2</v>
      </c>
      <c r="N59" s="54">
        <v>1</v>
      </c>
      <c r="O59" s="37"/>
      <c r="P59" s="54">
        <v>2</v>
      </c>
      <c r="Q59" s="54">
        <v>1</v>
      </c>
    </row>
    <row r="60" spans="1:29" ht="18.75" x14ac:dyDescent="0.3">
      <c r="A60" s="54">
        <v>3</v>
      </c>
      <c r="B60" s="54">
        <v>1</v>
      </c>
      <c r="C60" s="37"/>
      <c r="D60" s="54">
        <v>3</v>
      </c>
      <c r="E60" s="54">
        <v>1</v>
      </c>
      <c r="F60" s="37"/>
      <c r="G60" s="54">
        <v>3</v>
      </c>
      <c r="H60" s="54">
        <v>1</v>
      </c>
      <c r="I60" s="37"/>
      <c r="J60" s="54">
        <v>3</v>
      </c>
      <c r="K60" s="54">
        <v>1</v>
      </c>
      <c r="L60" s="37"/>
      <c r="M60" s="54">
        <v>3</v>
      </c>
      <c r="N60" s="54">
        <v>1</v>
      </c>
      <c r="O60" s="37"/>
      <c r="P60" s="54">
        <v>3</v>
      </c>
      <c r="Q60" s="54">
        <v>1</v>
      </c>
    </row>
    <row r="61" spans="1:29" ht="18.75" x14ac:dyDescent="0.3">
      <c r="A61" s="54">
        <v>4</v>
      </c>
      <c r="B61" s="54">
        <v>1</v>
      </c>
      <c r="C61" s="37"/>
      <c r="D61" s="54">
        <v>4</v>
      </c>
      <c r="E61" s="54">
        <v>1</v>
      </c>
      <c r="F61" s="37"/>
      <c r="G61" s="54">
        <v>4</v>
      </c>
      <c r="H61" s="54">
        <v>1</v>
      </c>
      <c r="I61" s="37"/>
      <c r="J61" s="106">
        <v>4</v>
      </c>
      <c r="K61" s="106" t="s">
        <v>69</v>
      </c>
      <c r="L61" s="37"/>
      <c r="M61" s="54">
        <v>4</v>
      </c>
      <c r="N61" s="54">
        <v>1</v>
      </c>
      <c r="O61" s="37"/>
      <c r="P61" s="54">
        <v>4</v>
      </c>
      <c r="Q61" s="54">
        <v>1</v>
      </c>
    </row>
    <row r="62" spans="1:29" ht="18.75" x14ac:dyDescent="0.3">
      <c r="A62" s="54">
        <v>5</v>
      </c>
      <c r="B62" s="54">
        <v>1</v>
      </c>
      <c r="C62" s="37"/>
      <c r="D62" s="107">
        <v>5</v>
      </c>
      <c r="E62" s="54">
        <v>1</v>
      </c>
      <c r="F62" s="108"/>
      <c r="G62" s="54">
        <v>5</v>
      </c>
      <c r="H62" s="54" t="s">
        <v>171</v>
      </c>
      <c r="I62" s="37"/>
      <c r="J62" s="54">
        <v>5</v>
      </c>
      <c r="K62" s="54">
        <v>1</v>
      </c>
      <c r="L62" s="37"/>
      <c r="M62" s="54">
        <v>5</v>
      </c>
      <c r="N62" s="54">
        <v>1</v>
      </c>
      <c r="O62" s="37"/>
      <c r="P62" s="54">
        <v>5</v>
      </c>
      <c r="Q62" s="54">
        <v>1</v>
      </c>
    </row>
    <row r="63" spans="1:29" ht="18.75" x14ac:dyDescent="0.3">
      <c r="A63" s="54">
        <v>6</v>
      </c>
      <c r="B63" s="54">
        <v>1</v>
      </c>
      <c r="C63" s="37"/>
      <c r="D63" s="54">
        <v>6</v>
      </c>
      <c r="E63" s="54">
        <v>1</v>
      </c>
      <c r="F63" s="37"/>
      <c r="G63" s="54">
        <v>6</v>
      </c>
      <c r="H63" s="54">
        <v>1</v>
      </c>
      <c r="I63" s="37"/>
      <c r="J63" s="54">
        <v>6</v>
      </c>
      <c r="K63" s="54">
        <v>1</v>
      </c>
      <c r="L63" s="37"/>
      <c r="M63" s="54">
        <v>6</v>
      </c>
      <c r="N63" s="54">
        <v>1</v>
      </c>
      <c r="O63" s="37"/>
      <c r="P63" s="54">
        <v>6</v>
      </c>
      <c r="Q63" s="54">
        <v>1</v>
      </c>
    </row>
    <row r="64" spans="1:29" ht="18.75" x14ac:dyDescent="0.3">
      <c r="A64" s="54">
        <v>7</v>
      </c>
      <c r="B64" s="54">
        <v>1</v>
      </c>
      <c r="C64" s="37"/>
      <c r="D64" s="54">
        <v>7</v>
      </c>
      <c r="E64" s="54">
        <v>1</v>
      </c>
      <c r="F64" s="37"/>
      <c r="G64" s="54">
        <v>7</v>
      </c>
      <c r="H64" s="54">
        <v>1</v>
      </c>
      <c r="I64" s="37"/>
      <c r="J64" s="54">
        <v>7</v>
      </c>
      <c r="K64" s="54">
        <v>1</v>
      </c>
      <c r="L64" s="37"/>
      <c r="M64" s="54">
        <v>7</v>
      </c>
      <c r="N64" s="54">
        <v>1</v>
      </c>
      <c r="O64" s="37"/>
      <c r="P64" s="54">
        <v>7</v>
      </c>
      <c r="Q64" s="54">
        <v>1</v>
      </c>
    </row>
    <row r="65" spans="1:17" ht="18.75" x14ac:dyDescent="0.3">
      <c r="A65" s="54">
        <v>8</v>
      </c>
      <c r="B65" s="54">
        <v>1</v>
      </c>
      <c r="C65" s="37"/>
      <c r="D65" s="54">
        <v>8</v>
      </c>
      <c r="E65" s="54">
        <v>1</v>
      </c>
      <c r="F65" s="37"/>
      <c r="G65" s="54">
        <v>8</v>
      </c>
      <c r="H65" s="54">
        <v>1</v>
      </c>
      <c r="I65" s="37"/>
      <c r="J65" s="54">
        <v>8</v>
      </c>
      <c r="K65" s="54">
        <v>1</v>
      </c>
      <c r="L65" s="37"/>
      <c r="M65" s="54">
        <v>8</v>
      </c>
      <c r="N65" s="54">
        <v>1</v>
      </c>
      <c r="O65" s="37"/>
      <c r="P65" s="54">
        <v>8</v>
      </c>
      <c r="Q65" s="54">
        <v>1</v>
      </c>
    </row>
    <row r="66" spans="1:17" ht="18.75" x14ac:dyDescent="0.3">
      <c r="A66" s="54">
        <v>9</v>
      </c>
      <c r="B66" s="54">
        <v>1</v>
      </c>
      <c r="C66" s="37"/>
      <c r="D66" s="109">
        <v>9</v>
      </c>
      <c r="E66" s="54">
        <v>1</v>
      </c>
      <c r="F66" s="108"/>
      <c r="G66" s="54">
        <v>9</v>
      </c>
      <c r="H66" s="54">
        <v>1</v>
      </c>
      <c r="I66" s="37"/>
      <c r="J66" s="54">
        <v>9</v>
      </c>
      <c r="K66" s="54">
        <v>1</v>
      </c>
      <c r="L66" s="37"/>
      <c r="M66" s="64">
        <v>9</v>
      </c>
      <c r="N66" s="64" t="s">
        <v>172</v>
      </c>
      <c r="O66" s="37"/>
      <c r="P66" s="54">
        <v>9</v>
      </c>
      <c r="Q66" s="54">
        <v>1</v>
      </c>
    </row>
    <row r="67" spans="1:17" ht="18.75" x14ac:dyDescent="0.3">
      <c r="A67" s="54">
        <v>10</v>
      </c>
      <c r="B67" s="54">
        <v>1</v>
      </c>
      <c r="C67" s="37"/>
      <c r="D67" s="54">
        <v>10</v>
      </c>
      <c r="E67" s="54">
        <v>1</v>
      </c>
      <c r="F67" s="37"/>
      <c r="G67" s="38"/>
      <c r="H67" s="110"/>
      <c r="I67" s="37"/>
      <c r="J67" s="54">
        <v>10</v>
      </c>
      <c r="K67" s="54">
        <v>1</v>
      </c>
      <c r="L67" s="37"/>
      <c r="M67" s="54">
        <v>10</v>
      </c>
      <c r="N67" s="54">
        <v>1</v>
      </c>
      <c r="O67" s="37"/>
      <c r="P67" s="54">
        <v>10</v>
      </c>
      <c r="Q67" s="54">
        <v>1</v>
      </c>
    </row>
    <row r="68" spans="1:17" ht="18.75" x14ac:dyDescent="0.3">
      <c r="A68" s="54">
        <v>11</v>
      </c>
      <c r="B68" s="54">
        <v>1</v>
      </c>
      <c r="C68" s="37"/>
      <c r="D68" s="54">
        <v>11</v>
      </c>
      <c r="E68" s="54">
        <v>1</v>
      </c>
      <c r="F68" s="37"/>
      <c r="G68" s="38"/>
      <c r="H68" s="37"/>
      <c r="I68" s="37"/>
      <c r="J68" s="38"/>
      <c r="K68" s="110"/>
      <c r="L68" s="37"/>
      <c r="M68" s="38"/>
      <c r="N68" s="110"/>
      <c r="O68" s="37"/>
      <c r="P68" s="54">
        <v>11</v>
      </c>
      <c r="Q68" s="54">
        <v>1</v>
      </c>
    </row>
    <row r="69" spans="1:17" ht="18.75" x14ac:dyDescent="0.3">
      <c r="A69" s="54">
        <v>12</v>
      </c>
      <c r="B69" s="54">
        <v>1</v>
      </c>
      <c r="C69" s="37"/>
      <c r="D69" s="54">
        <v>12</v>
      </c>
      <c r="E69" s="54">
        <v>1</v>
      </c>
      <c r="F69" s="37" t="s">
        <v>173</v>
      </c>
      <c r="G69" s="38"/>
      <c r="H69" s="37"/>
      <c r="I69" s="37"/>
      <c r="J69" s="38"/>
      <c r="K69" s="37"/>
      <c r="L69" s="37"/>
      <c r="M69" s="38"/>
      <c r="N69" s="37"/>
      <c r="O69" s="37"/>
      <c r="P69" s="54">
        <v>12</v>
      </c>
      <c r="Q69" s="54">
        <v>1</v>
      </c>
    </row>
    <row r="70" spans="1:17" ht="18.75" x14ac:dyDescent="0.3">
      <c r="A70" s="54">
        <v>13</v>
      </c>
      <c r="B70" s="54">
        <v>1</v>
      </c>
      <c r="C70" s="37"/>
      <c r="D70" s="54">
        <v>13</v>
      </c>
      <c r="E70" s="54">
        <v>1</v>
      </c>
      <c r="F70" s="37"/>
      <c r="G70" s="38"/>
      <c r="H70" s="37"/>
      <c r="I70" s="37"/>
      <c r="J70" s="38"/>
      <c r="K70" s="37"/>
      <c r="L70" s="37"/>
      <c r="M70" s="38"/>
      <c r="N70" s="37"/>
      <c r="O70" s="37"/>
      <c r="P70" s="54">
        <v>13</v>
      </c>
      <c r="Q70" s="54">
        <v>1</v>
      </c>
    </row>
    <row r="71" spans="1:17" ht="18.75" x14ac:dyDescent="0.3">
      <c r="A71" s="54">
        <v>14</v>
      </c>
      <c r="B71" s="54">
        <v>1</v>
      </c>
      <c r="C71" s="37"/>
      <c r="D71" s="54">
        <v>14</v>
      </c>
      <c r="E71" s="54">
        <v>1</v>
      </c>
      <c r="F71" s="37"/>
      <c r="G71" s="38"/>
      <c r="H71" s="37"/>
      <c r="I71" s="37"/>
      <c r="J71" s="38"/>
      <c r="K71" s="37"/>
      <c r="L71" s="37"/>
      <c r="M71" s="38"/>
      <c r="N71" s="37"/>
      <c r="O71" s="37"/>
      <c r="P71" s="54">
        <v>14</v>
      </c>
      <c r="Q71" s="54">
        <v>1</v>
      </c>
    </row>
    <row r="72" spans="1:17" ht="18.75" x14ac:dyDescent="0.3">
      <c r="A72" s="54">
        <v>15</v>
      </c>
      <c r="B72" s="54">
        <v>1</v>
      </c>
      <c r="C72" s="37"/>
      <c r="D72" s="54">
        <v>15</v>
      </c>
      <c r="E72" s="54">
        <v>1</v>
      </c>
      <c r="F72" s="37"/>
      <c r="G72" s="38"/>
      <c r="H72" s="37"/>
      <c r="I72" s="37"/>
      <c r="J72" s="38"/>
      <c r="K72" s="37"/>
      <c r="L72" s="37"/>
      <c r="M72" s="38"/>
      <c r="N72" s="37"/>
      <c r="O72" s="37"/>
      <c r="P72" s="54">
        <v>15</v>
      </c>
      <c r="Q72" s="54">
        <v>1</v>
      </c>
    </row>
    <row r="73" spans="1:17" ht="18.75" x14ac:dyDescent="0.3">
      <c r="A73" s="54">
        <v>16</v>
      </c>
      <c r="B73" s="54">
        <v>1</v>
      </c>
      <c r="C73" s="37"/>
      <c r="D73" s="54">
        <v>16</v>
      </c>
      <c r="E73" s="54">
        <v>1</v>
      </c>
      <c r="F73" s="37"/>
      <c r="G73" s="38"/>
      <c r="H73" s="76"/>
      <c r="I73" s="37"/>
      <c r="J73" s="38"/>
      <c r="K73" s="37"/>
      <c r="L73" s="37"/>
      <c r="M73" s="38"/>
      <c r="N73" s="37"/>
      <c r="O73" s="37"/>
      <c r="P73" s="54">
        <v>16</v>
      </c>
      <c r="Q73" s="54">
        <v>1</v>
      </c>
    </row>
    <row r="74" spans="1:17" ht="18.75" x14ac:dyDescent="0.3">
      <c r="A74" s="38"/>
      <c r="B74" s="110"/>
      <c r="C74" s="37"/>
      <c r="D74" s="54">
        <v>17</v>
      </c>
      <c r="E74" s="54">
        <v>1</v>
      </c>
      <c r="F74" s="37"/>
      <c r="G74" s="38"/>
      <c r="H74" s="37"/>
      <c r="I74" s="37"/>
      <c r="J74" s="38"/>
      <c r="K74" s="37"/>
      <c r="L74" s="37"/>
      <c r="M74" s="38"/>
      <c r="N74" s="37"/>
      <c r="O74" s="37"/>
      <c r="P74" s="54">
        <v>17</v>
      </c>
      <c r="Q74" s="54">
        <v>1</v>
      </c>
    </row>
    <row r="75" spans="1:17" ht="18.75" x14ac:dyDescent="0.3">
      <c r="A75" s="111"/>
      <c r="B75" s="102"/>
      <c r="C75" s="37"/>
      <c r="D75" s="54">
        <v>18</v>
      </c>
      <c r="E75" s="62">
        <v>1</v>
      </c>
      <c r="F75" s="37"/>
      <c r="G75" s="38"/>
      <c r="H75" s="37"/>
      <c r="I75" s="37"/>
      <c r="J75" s="38"/>
      <c r="K75" s="37"/>
      <c r="L75" s="37"/>
      <c r="M75" s="38"/>
      <c r="N75" s="37"/>
      <c r="O75" s="37"/>
      <c r="P75" s="54">
        <v>18</v>
      </c>
      <c r="Q75" s="54">
        <v>1</v>
      </c>
    </row>
    <row r="76" spans="1:17" ht="18.75" x14ac:dyDescent="0.3">
      <c r="A76" s="112"/>
      <c r="B76" s="113"/>
      <c r="C76" s="50"/>
      <c r="D76" s="102"/>
      <c r="E76" s="111"/>
      <c r="F76" s="50"/>
      <c r="G76" s="102"/>
      <c r="H76" s="50"/>
      <c r="I76" s="50"/>
      <c r="J76" s="102"/>
      <c r="K76" s="50"/>
      <c r="L76" s="50"/>
      <c r="M76" s="102"/>
      <c r="N76" s="50"/>
      <c r="O76" s="50"/>
      <c r="P76" s="102"/>
      <c r="Q76" s="110"/>
    </row>
    <row r="77" spans="1:17" ht="18.75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111"/>
      <c r="Q77" s="102"/>
    </row>
    <row r="78" spans="1:17" ht="18.75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113"/>
      <c r="P78" s="112"/>
      <c r="Q78" s="113"/>
    </row>
    <row r="79" spans="1:17" ht="18.75" x14ac:dyDescent="0.3">
      <c r="A79" s="43">
        <v>50</v>
      </c>
      <c r="B79" s="114" t="s">
        <v>174</v>
      </c>
      <c r="C79" s="113"/>
      <c r="D79" s="43">
        <v>50</v>
      </c>
      <c r="E79" s="114" t="s">
        <v>175</v>
      </c>
      <c r="F79" s="102"/>
      <c r="G79" s="43">
        <v>50</v>
      </c>
      <c r="H79" s="114" t="s">
        <v>176</v>
      </c>
      <c r="I79" s="102"/>
      <c r="J79" s="43">
        <v>50</v>
      </c>
      <c r="K79" s="115" t="s">
        <v>177</v>
      </c>
      <c r="L79" s="116"/>
      <c r="M79" s="43">
        <v>50</v>
      </c>
      <c r="N79" s="114" t="s">
        <v>178</v>
      </c>
      <c r="O79" s="113"/>
      <c r="P79" s="112"/>
      <c r="Q79" s="37"/>
    </row>
    <row r="80" spans="1:17" ht="18.75" x14ac:dyDescent="0.3">
      <c r="A80" s="109">
        <v>1</v>
      </c>
      <c r="B80" s="109">
        <v>1</v>
      </c>
      <c r="C80" s="37"/>
      <c r="D80" s="109">
        <v>1</v>
      </c>
      <c r="E80" s="109">
        <v>1</v>
      </c>
      <c r="F80" s="113"/>
      <c r="G80" s="109">
        <v>1</v>
      </c>
      <c r="H80" s="109">
        <v>1</v>
      </c>
      <c r="I80" s="113"/>
      <c r="J80" s="109">
        <v>1</v>
      </c>
      <c r="K80" s="117">
        <v>1</v>
      </c>
      <c r="L80" s="118"/>
      <c r="M80" s="109">
        <v>1</v>
      </c>
      <c r="N80" s="109">
        <v>1</v>
      </c>
      <c r="O80" s="113"/>
      <c r="P80" s="112"/>
      <c r="Q80" s="37"/>
    </row>
    <row r="81" spans="1:17" ht="18.75" x14ac:dyDescent="0.3">
      <c r="A81" s="109">
        <v>2</v>
      </c>
      <c r="B81" s="109">
        <v>1</v>
      </c>
      <c r="C81" s="37"/>
      <c r="D81" s="109">
        <v>2</v>
      </c>
      <c r="E81" s="109">
        <v>1</v>
      </c>
      <c r="F81" s="113"/>
      <c r="G81" s="109">
        <v>2</v>
      </c>
      <c r="H81" s="109">
        <v>1</v>
      </c>
      <c r="I81" s="113"/>
      <c r="J81" s="109">
        <v>2</v>
      </c>
      <c r="K81" s="117">
        <v>1</v>
      </c>
      <c r="L81" s="118"/>
      <c r="M81" s="109">
        <v>2</v>
      </c>
      <c r="N81" s="109">
        <v>1</v>
      </c>
      <c r="O81" s="113"/>
      <c r="P81" s="112"/>
      <c r="Q81" s="37"/>
    </row>
    <row r="82" spans="1:17" ht="18.75" x14ac:dyDescent="0.3">
      <c r="A82" s="109">
        <v>3</v>
      </c>
      <c r="B82" s="109">
        <v>1</v>
      </c>
      <c r="C82" s="37"/>
      <c r="D82" s="109">
        <v>3</v>
      </c>
      <c r="E82" s="109">
        <v>1</v>
      </c>
      <c r="F82" s="113"/>
      <c r="G82" s="119">
        <v>3</v>
      </c>
      <c r="H82" s="119" t="s">
        <v>67</v>
      </c>
      <c r="I82" s="113"/>
      <c r="J82" s="109">
        <v>3</v>
      </c>
      <c r="K82" s="117">
        <v>1</v>
      </c>
      <c r="L82" s="118"/>
      <c r="M82" s="109">
        <v>3</v>
      </c>
      <c r="N82" s="109">
        <v>1</v>
      </c>
      <c r="O82" s="113"/>
      <c r="P82" s="112"/>
      <c r="Q82" s="37"/>
    </row>
    <row r="83" spans="1:17" ht="18.75" x14ac:dyDescent="0.3">
      <c r="A83" s="109">
        <v>4</v>
      </c>
      <c r="B83" s="109">
        <v>1</v>
      </c>
      <c r="C83" s="37"/>
      <c r="D83" s="109">
        <v>4</v>
      </c>
      <c r="E83" s="109">
        <v>1</v>
      </c>
      <c r="F83" s="113"/>
      <c r="G83" s="109">
        <v>4</v>
      </c>
      <c r="H83" s="109">
        <v>1</v>
      </c>
      <c r="I83" s="113"/>
      <c r="J83" s="109">
        <v>4</v>
      </c>
      <c r="K83" s="117">
        <v>1</v>
      </c>
      <c r="L83" s="118"/>
      <c r="M83" s="109">
        <v>4</v>
      </c>
      <c r="N83" s="109">
        <v>1</v>
      </c>
      <c r="O83" s="113"/>
      <c r="P83" s="112"/>
      <c r="Q83" s="37"/>
    </row>
    <row r="84" spans="1:17" ht="18.75" x14ac:dyDescent="0.3">
      <c r="A84" s="109">
        <v>5</v>
      </c>
      <c r="B84" s="109">
        <v>1</v>
      </c>
      <c r="C84" s="37"/>
      <c r="D84" s="109">
        <v>5</v>
      </c>
      <c r="E84" s="109">
        <v>1</v>
      </c>
      <c r="F84" s="113"/>
      <c r="G84" s="109">
        <v>5</v>
      </c>
      <c r="H84" s="109">
        <v>1</v>
      </c>
      <c r="I84" s="113"/>
      <c r="J84" s="109">
        <v>5</v>
      </c>
      <c r="K84" s="117">
        <v>1</v>
      </c>
      <c r="L84" s="118"/>
      <c r="M84" s="109">
        <v>5</v>
      </c>
      <c r="N84" s="109">
        <v>1</v>
      </c>
      <c r="O84" s="113"/>
      <c r="P84" s="112"/>
      <c r="Q84" s="37"/>
    </row>
    <row r="85" spans="1:17" ht="18.75" x14ac:dyDescent="0.3">
      <c r="A85" s="109">
        <v>6</v>
      </c>
      <c r="B85" s="109">
        <v>1</v>
      </c>
      <c r="C85" s="37"/>
      <c r="D85" s="109">
        <v>6</v>
      </c>
      <c r="E85" s="109">
        <v>1</v>
      </c>
      <c r="F85" s="113"/>
      <c r="G85" s="109">
        <v>6</v>
      </c>
      <c r="H85" s="109">
        <v>1</v>
      </c>
      <c r="I85" s="113"/>
      <c r="J85" s="109">
        <v>6</v>
      </c>
      <c r="K85" s="117">
        <v>1</v>
      </c>
      <c r="L85" s="118"/>
      <c r="M85" s="109">
        <v>6</v>
      </c>
      <c r="N85" s="109">
        <v>1</v>
      </c>
      <c r="O85" s="113"/>
      <c r="P85" s="112"/>
      <c r="Q85" s="37"/>
    </row>
    <row r="86" spans="1:17" ht="18.75" x14ac:dyDescent="0.3">
      <c r="A86" s="109">
        <v>7</v>
      </c>
      <c r="B86" s="109">
        <v>1</v>
      </c>
      <c r="C86" s="37"/>
      <c r="D86" s="109">
        <v>7</v>
      </c>
      <c r="E86" s="109">
        <v>1</v>
      </c>
      <c r="F86" s="113"/>
      <c r="G86" s="109">
        <v>7</v>
      </c>
      <c r="H86" s="109">
        <v>1</v>
      </c>
      <c r="I86" s="113"/>
      <c r="J86" s="109">
        <v>7</v>
      </c>
      <c r="K86" s="117">
        <v>1</v>
      </c>
      <c r="L86" s="118"/>
      <c r="M86" s="109">
        <v>7</v>
      </c>
      <c r="N86" s="109">
        <v>1</v>
      </c>
      <c r="O86" s="113"/>
      <c r="P86" s="112"/>
      <c r="Q86" s="37"/>
    </row>
    <row r="87" spans="1:17" ht="18.75" x14ac:dyDescent="0.3">
      <c r="A87" s="109">
        <v>8</v>
      </c>
      <c r="B87" s="109">
        <v>1</v>
      </c>
      <c r="C87" s="37"/>
      <c r="D87" s="109">
        <v>8</v>
      </c>
      <c r="E87" s="109">
        <v>1</v>
      </c>
      <c r="F87" s="113"/>
      <c r="G87" s="109">
        <v>8</v>
      </c>
      <c r="H87" s="109">
        <v>1</v>
      </c>
      <c r="I87" s="113"/>
      <c r="J87" s="109">
        <v>8</v>
      </c>
      <c r="K87" s="117">
        <v>1</v>
      </c>
      <c r="L87" s="118"/>
      <c r="M87" s="109">
        <v>8</v>
      </c>
      <c r="N87" s="109">
        <v>1</v>
      </c>
      <c r="O87" s="113"/>
      <c r="P87" s="112"/>
      <c r="Q87" s="37"/>
    </row>
    <row r="88" spans="1:17" ht="18.75" x14ac:dyDescent="0.3">
      <c r="A88" s="109">
        <v>9</v>
      </c>
      <c r="B88" s="109">
        <v>1</v>
      </c>
      <c r="C88" s="37"/>
      <c r="D88" s="109">
        <v>9</v>
      </c>
      <c r="E88" s="109">
        <v>1</v>
      </c>
      <c r="F88" s="113"/>
      <c r="G88" s="109">
        <v>9</v>
      </c>
      <c r="H88" s="109">
        <v>1</v>
      </c>
      <c r="I88" s="113"/>
      <c r="J88" s="109">
        <v>9</v>
      </c>
      <c r="K88" s="117">
        <v>1</v>
      </c>
      <c r="L88" s="118"/>
      <c r="M88" s="109">
        <v>9</v>
      </c>
      <c r="N88" s="109">
        <v>1</v>
      </c>
      <c r="O88" s="113"/>
      <c r="P88" s="112"/>
      <c r="Q88" s="37"/>
    </row>
    <row r="89" spans="1:17" ht="18.75" x14ac:dyDescent="0.3">
      <c r="A89" s="109">
        <v>10</v>
      </c>
      <c r="B89" s="109" t="s">
        <v>92</v>
      </c>
      <c r="C89" s="37"/>
      <c r="D89" s="109">
        <v>10</v>
      </c>
      <c r="E89" s="109">
        <v>1</v>
      </c>
      <c r="F89" s="113"/>
      <c r="G89" s="109">
        <v>10</v>
      </c>
      <c r="H89" s="109">
        <v>1</v>
      </c>
      <c r="I89" s="113"/>
      <c r="J89" s="109">
        <v>10</v>
      </c>
      <c r="K89" s="117">
        <v>1</v>
      </c>
      <c r="L89" s="118"/>
      <c r="M89" s="109">
        <v>10</v>
      </c>
      <c r="N89" s="109">
        <v>1</v>
      </c>
      <c r="O89" s="113"/>
      <c r="P89" s="112"/>
      <c r="Q89" s="37"/>
    </row>
    <row r="90" spans="1:17" ht="18.75" x14ac:dyDescent="0.3">
      <c r="A90" s="109">
        <v>11</v>
      </c>
      <c r="B90" s="109">
        <v>1</v>
      </c>
      <c r="C90" s="37"/>
      <c r="D90" s="109">
        <v>11</v>
      </c>
      <c r="E90" s="109">
        <v>1</v>
      </c>
      <c r="F90" s="113"/>
      <c r="G90" s="109">
        <v>11</v>
      </c>
      <c r="H90" s="109">
        <v>1</v>
      </c>
      <c r="I90" s="113"/>
      <c r="J90" s="109">
        <v>11</v>
      </c>
      <c r="K90" s="117">
        <v>1</v>
      </c>
      <c r="L90" s="118"/>
      <c r="M90" s="109">
        <v>11</v>
      </c>
      <c r="N90" s="109">
        <v>1</v>
      </c>
      <c r="O90" s="113"/>
      <c r="P90" s="112"/>
      <c r="Q90" s="37"/>
    </row>
    <row r="91" spans="1:17" ht="18.75" x14ac:dyDescent="0.3">
      <c r="A91" s="109">
        <v>12</v>
      </c>
      <c r="B91" s="109">
        <v>1</v>
      </c>
      <c r="C91" s="37"/>
      <c r="D91" s="109">
        <v>12</v>
      </c>
      <c r="E91" s="109">
        <v>1</v>
      </c>
      <c r="F91" s="113"/>
      <c r="G91" s="109">
        <v>12</v>
      </c>
      <c r="H91" s="109">
        <v>1</v>
      </c>
      <c r="I91" s="113"/>
      <c r="J91" s="109">
        <v>12</v>
      </c>
      <c r="K91" s="117">
        <v>1</v>
      </c>
      <c r="L91" s="118"/>
      <c r="M91" s="109">
        <v>12</v>
      </c>
      <c r="N91" s="109">
        <v>1</v>
      </c>
      <c r="O91" s="113"/>
      <c r="P91" s="112"/>
      <c r="Q91" s="37"/>
    </row>
    <row r="92" spans="1:17" ht="18.75" x14ac:dyDescent="0.3">
      <c r="A92" s="109">
        <v>13</v>
      </c>
      <c r="B92" s="109" t="s">
        <v>171</v>
      </c>
      <c r="C92" s="37"/>
      <c r="D92" s="109">
        <v>13</v>
      </c>
      <c r="E92" s="109">
        <v>1</v>
      </c>
      <c r="F92" s="113"/>
      <c r="G92" s="109">
        <v>13</v>
      </c>
      <c r="H92" s="109">
        <v>1</v>
      </c>
      <c r="I92" s="113"/>
      <c r="J92" s="109">
        <v>13</v>
      </c>
      <c r="K92" s="117">
        <v>1</v>
      </c>
      <c r="L92" s="118"/>
      <c r="M92" s="109">
        <v>13</v>
      </c>
      <c r="N92" s="109">
        <v>1</v>
      </c>
      <c r="O92" s="113"/>
      <c r="P92" s="112"/>
      <c r="Q92" s="37"/>
    </row>
    <row r="93" spans="1:17" ht="18.75" x14ac:dyDescent="0.3">
      <c r="A93" s="109">
        <v>14</v>
      </c>
      <c r="B93" s="109">
        <v>1</v>
      </c>
      <c r="C93" s="37"/>
      <c r="D93" s="109">
        <v>14</v>
      </c>
      <c r="E93" s="109">
        <v>1</v>
      </c>
      <c r="F93" s="113"/>
      <c r="G93" s="109">
        <v>14</v>
      </c>
      <c r="H93" s="109">
        <v>1</v>
      </c>
      <c r="I93" s="113"/>
      <c r="J93" s="109">
        <v>14</v>
      </c>
      <c r="K93" s="117">
        <v>1</v>
      </c>
      <c r="L93" s="118"/>
      <c r="M93" s="109">
        <v>14</v>
      </c>
      <c r="N93" s="109">
        <v>1</v>
      </c>
      <c r="O93" s="113"/>
      <c r="P93" s="112"/>
      <c r="Q93" s="37"/>
    </row>
    <row r="94" spans="1:17" ht="18.75" x14ac:dyDescent="0.3">
      <c r="A94" s="109">
        <v>15</v>
      </c>
      <c r="B94" s="109">
        <v>1</v>
      </c>
      <c r="C94" s="37"/>
      <c r="D94" s="109">
        <v>15</v>
      </c>
      <c r="E94" s="109">
        <v>1</v>
      </c>
      <c r="F94" s="113"/>
      <c r="G94" s="109">
        <v>15</v>
      </c>
      <c r="H94" s="109">
        <v>1</v>
      </c>
      <c r="I94" s="113"/>
      <c r="J94" s="109">
        <v>15</v>
      </c>
      <c r="K94" s="117">
        <v>1</v>
      </c>
      <c r="L94" s="118"/>
      <c r="M94" s="109">
        <v>15</v>
      </c>
      <c r="N94" s="109">
        <v>1</v>
      </c>
      <c r="O94" s="113"/>
      <c r="P94" s="112"/>
      <c r="Q94" s="37"/>
    </row>
    <row r="95" spans="1:17" ht="18.75" x14ac:dyDescent="0.3">
      <c r="A95" s="109">
        <v>16</v>
      </c>
      <c r="B95" s="109">
        <v>1</v>
      </c>
      <c r="C95" s="37"/>
      <c r="D95" s="109">
        <v>16</v>
      </c>
      <c r="E95" s="109">
        <v>1</v>
      </c>
      <c r="F95" s="113"/>
      <c r="G95" s="109">
        <v>16</v>
      </c>
      <c r="H95" s="109">
        <v>1</v>
      </c>
      <c r="I95" s="113"/>
      <c r="J95" s="109">
        <v>16</v>
      </c>
      <c r="K95" s="117">
        <v>1</v>
      </c>
      <c r="L95" s="118"/>
      <c r="M95" s="109">
        <v>16</v>
      </c>
      <c r="N95" s="109">
        <v>1</v>
      </c>
      <c r="O95" s="113"/>
      <c r="P95" s="112"/>
      <c r="Q95" s="37"/>
    </row>
    <row r="96" spans="1:17" ht="18.75" x14ac:dyDescent="0.3">
      <c r="A96" s="109">
        <v>17</v>
      </c>
      <c r="B96" s="109">
        <v>1</v>
      </c>
      <c r="C96" s="37"/>
      <c r="D96" s="109">
        <v>17</v>
      </c>
      <c r="E96" s="109">
        <v>1</v>
      </c>
      <c r="F96" s="113"/>
      <c r="G96" s="109">
        <v>17</v>
      </c>
      <c r="H96" s="109">
        <v>1</v>
      </c>
      <c r="I96" s="113"/>
      <c r="J96" s="109">
        <v>17</v>
      </c>
      <c r="K96" s="117">
        <v>1</v>
      </c>
      <c r="L96" s="118"/>
      <c r="M96" s="109">
        <v>17</v>
      </c>
      <c r="N96" s="109">
        <v>1</v>
      </c>
      <c r="O96" s="113"/>
      <c r="P96" s="37"/>
      <c r="Q96" s="37"/>
    </row>
    <row r="97" spans="1:17" ht="18.75" x14ac:dyDescent="0.3">
      <c r="A97" s="109">
        <v>18</v>
      </c>
      <c r="B97" s="109">
        <v>1</v>
      </c>
      <c r="C97" s="37"/>
      <c r="D97" s="109">
        <v>18</v>
      </c>
      <c r="E97" s="109">
        <v>1</v>
      </c>
      <c r="F97" s="113"/>
      <c r="G97" s="109">
        <v>18</v>
      </c>
      <c r="H97" s="109">
        <v>1</v>
      </c>
      <c r="I97" s="113"/>
      <c r="J97" s="109">
        <v>18</v>
      </c>
      <c r="K97" s="117">
        <v>1</v>
      </c>
      <c r="L97" s="118"/>
      <c r="M97" s="109">
        <v>18</v>
      </c>
      <c r="N97" s="109">
        <v>1</v>
      </c>
      <c r="O97" s="113"/>
      <c r="P97" s="37"/>
      <c r="Q97" s="37"/>
    </row>
    <row r="98" spans="1:17" ht="18.75" x14ac:dyDescent="0.3">
      <c r="A98" s="109">
        <v>19</v>
      </c>
      <c r="B98" s="109">
        <v>1</v>
      </c>
      <c r="C98" s="37"/>
      <c r="D98" s="109">
        <v>19</v>
      </c>
      <c r="E98" s="109">
        <v>1</v>
      </c>
      <c r="F98" s="113"/>
      <c r="G98" s="109">
        <v>19</v>
      </c>
      <c r="H98" s="109">
        <v>1</v>
      </c>
      <c r="I98" s="113"/>
      <c r="J98" s="109">
        <v>19</v>
      </c>
      <c r="K98" s="117">
        <v>1</v>
      </c>
      <c r="L98" s="118"/>
      <c r="M98" s="109">
        <v>19</v>
      </c>
      <c r="N98" s="109">
        <v>1</v>
      </c>
      <c r="O98" s="113"/>
      <c r="P98" s="37"/>
      <c r="Q98" s="37"/>
    </row>
    <row r="99" spans="1:17" ht="18.75" x14ac:dyDescent="0.3">
      <c r="A99" s="109">
        <v>20</v>
      </c>
      <c r="B99" s="109">
        <v>1</v>
      </c>
      <c r="C99" s="37"/>
      <c r="D99" s="109">
        <v>20</v>
      </c>
      <c r="E99" s="109">
        <v>1</v>
      </c>
      <c r="F99" s="113"/>
      <c r="G99" s="109">
        <v>20</v>
      </c>
      <c r="H99" s="109">
        <v>1</v>
      </c>
      <c r="I99" s="113"/>
      <c r="J99" s="109">
        <v>20</v>
      </c>
      <c r="K99" s="117">
        <v>1</v>
      </c>
      <c r="L99" s="118"/>
      <c r="M99" s="119">
        <v>20</v>
      </c>
      <c r="N99" s="119" t="s">
        <v>67</v>
      </c>
      <c r="O99" s="113"/>
      <c r="P99" s="37"/>
      <c r="Q99" s="37"/>
    </row>
    <row r="100" spans="1:17" ht="18.75" x14ac:dyDescent="0.3">
      <c r="A100" s="109">
        <v>21</v>
      </c>
      <c r="B100" s="109">
        <v>1</v>
      </c>
      <c r="C100" s="37" t="s">
        <v>171</v>
      </c>
      <c r="D100" s="109">
        <v>21</v>
      </c>
      <c r="E100" s="109">
        <v>1</v>
      </c>
      <c r="F100" s="113"/>
      <c r="G100" s="109">
        <v>21</v>
      </c>
      <c r="H100" s="109">
        <v>1</v>
      </c>
      <c r="I100" s="113"/>
      <c r="J100" s="109">
        <v>21</v>
      </c>
      <c r="K100" s="117">
        <v>1</v>
      </c>
      <c r="L100" s="118"/>
      <c r="M100" s="109">
        <v>21</v>
      </c>
      <c r="N100" s="109">
        <v>1</v>
      </c>
      <c r="O100" s="113"/>
      <c r="P100" s="112"/>
      <c r="Q100" s="37"/>
    </row>
    <row r="101" spans="1:17" ht="18.75" x14ac:dyDescent="0.3">
      <c r="A101" s="109">
        <v>22</v>
      </c>
      <c r="B101" s="109">
        <v>1</v>
      </c>
      <c r="C101" s="37"/>
      <c r="D101" s="109">
        <v>22</v>
      </c>
      <c r="E101" s="109">
        <v>1</v>
      </c>
      <c r="F101" s="113"/>
      <c r="G101" s="109">
        <v>22</v>
      </c>
      <c r="H101" s="109">
        <v>1</v>
      </c>
      <c r="I101" s="113"/>
      <c r="J101" s="109">
        <v>22</v>
      </c>
      <c r="K101" s="117">
        <v>1</v>
      </c>
      <c r="L101" s="118"/>
      <c r="M101" s="109">
        <v>22</v>
      </c>
      <c r="N101" s="109">
        <v>1</v>
      </c>
      <c r="O101" s="113"/>
      <c r="P101" s="112"/>
      <c r="Q101" s="37"/>
    </row>
    <row r="102" spans="1:17" ht="18.75" x14ac:dyDescent="0.3">
      <c r="A102" s="109">
        <v>23</v>
      </c>
      <c r="B102" s="109">
        <v>1</v>
      </c>
      <c r="C102" s="37"/>
      <c r="D102" s="109">
        <v>23</v>
      </c>
      <c r="E102" s="109">
        <v>1</v>
      </c>
      <c r="F102" s="113"/>
      <c r="G102" s="109">
        <v>23</v>
      </c>
      <c r="H102" s="109">
        <v>1</v>
      </c>
      <c r="I102" s="113"/>
      <c r="J102" s="109">
        <v>23</v>
      </c>
      <c r="K102" s="117">
        <v>1</v>
      </c>
      <c r="L102" s="118"/>
      <c r="M102" s="119">
        <v>23</v>
      </c>
      <c r="N102" s="119" t="s">
        <v>67</v>
      </c>
      <c r="O102" s="113"/>
      <c r="P102" s="112"/>
      <c r="Q102" s="37"/>
    </row>
    <row r="103" spans="1:17" ht="18.75" x14ac:dyDescent="0.3">
      <c r="A103" s="109">
        <v>24</v>
      </c>
      <c r="B103" s="109">
        <v>1</v>
      </c>
      <c r="C103" s="37"/>
      <c r="D103" s="109">
        <v>24</v>
      </c>
      <c r="E103" s="109">
        <v>1</v>
      </c>
      <c r="F103" s="113"/>
      <c r="G103" s="109">
        <v>24</v>
      </c>
      <c r="H103" s="109">
        <v>1</v>
      </c>
      <c r="I103" s="113"/>
      <c r="J103" s="109">
        <v>24</v>
      </c>
      <c r="K103" s="117">
        <v>1</v>
      </c>
      <c r="L103" s="118"/>
      <c r="M103" s="109">
        <v>24</v>
      </c>
      <c r="N103" s="109">
        <v>1</v>
      </c>
      <c r="O103" s="113"/>
      <c r="P103" s="112"/>
      <c r="Q103" s="37"/>
    </row>
    <row r="104" spans="1:17" ht="18.75" x14ac:dyDescent="0.3">
      <c r="A104" s="109">
        <v>25</v>
      </c>
      <c r="B104" s="109">
        <v>1</v>
      </c>
      <c r="C104" s="37"/>
      <c r="D104" s="109">
        <v>25</v>
      </c>
      <c r="E104" s="109">
        <v>1</v>
      </c>
      <c r="F104" s="113"/>
      <c r="G104" s="109">
        <v>25</v>
      </c>
      <c r="H104" s="109">
        <v>1</v>
      </c>
      <c r="I104" s="113"/>
      <c r="J104" s="109">
        <v>25</v>
      </c>
      <c r="K104" s="117">
        <v>1</v>
      </c>
      <c r="L104" s="118"/>
      <c r="M104" s="109">
        <v>25</v>
      </c>
      <c r="N104" s="109">
        <v>1</v>
      </c>
      <c r="O104" s="113"/>
      <c r="P104" s="112"/>
      <c r="Q104" s="37"/>
    </row>
    <row r="105" spans="1:17" ht="18.75" x14ac:dyDescent="0.3">
      <c r="A105" s="109">
        <v>26</v>
      </c>
      <c r="B105" s="109">
        <v>1</v>
      </c>
      <c r="C105" s="37"/>
      <c r="D105" s="109">
        <v>26</v>
      </c>
      <c r="E105" s="109">
        <v>1</v>
      </c>
      <c r="F105" s="113"/>
      <c r="G105" s="109">
        <v>26</v>
      </c>
      <c r="H105" s="109">
        <v>1</v>
      </c>
      <c r="I105" s="113"/>
      <c r="J105" s="109">
        <v>26</v>
      </c>
      <c r="K105" s="117">
        <v>1</v>
      </c>
      <c r="L105" s="118"/>
      <c r="M105" s="109">
        <v>26</v>
      </c>
      <c r="N105" s="109">
        <v>1</v>
      </c>
      <c r="O105" s="113"/>
      <c r="P105" s="112"/>
      <c r="Q105" s="37"/>
    </row>
    <row r="106" spans="1:17" ht="18.75" x14ac:dyDescent="0.3">
      <c r="A106" s="109">
        <v>27</v>
      </c>
      <c r="B106" s="109">
        <v>1</v>
      </c>
      <c r="C106" s="37"/>
      <c r="D106" s="109">
        <v>27</v>
      </c>
      <c r="E106" s="109">
        <v>1</v>
      </c>
      <c r="F106" s="113"/>
      <c r="G106" s="109">
        <v>27</v>
      </c>
      <c r="H106" s="109">
        <v>1</v>
      </c>
      <c r="I106" s="113"/>
      <c r="J106" s="109">
        <v>27</v>
      </c>
      <c r="K106" s="117">
        <v>1</v>
      </c>
      <c r="L106" s="118"/>
      <c r="M106" s="109">
        <v>27</v>
      </c>
      <c r="N106" s="109">
        <v>1</v>
      </c>
      <c r="O106" s="113"/>
      <c r="P106" s="112"/>
      <c r="Q106" s="37"/>
    </row>
    <row r="107" spans="1:17" ht="18.75" x14ac:dyDescent="0.3">
      <c r="A107" s="109">
        <v>28</v>
      </c>
      <c r="B107" s="109">
        <v>1</v>
      </c>
      <c r="C107" s="37"/>
      <c r="D107" s="109">
        <v>28</v>
      </c>
      <c r="E107" s="109">
        <v>1</v>
      </c>
      <c r="F107" s="113"/>
      <c r="G107" s="109">
        <v>28</v>
      </c>
      <c r="H107" s="109">
        <v>1</v>
      </c>
      <c r="I107" s="113"/>
      <c r="J107" s="109">
        <v>28</v>
      </c>
      <c r="K107" s="117">
        <v>1</v>
      </c>
      <c r="L107" s="118"/>
      <c r="M107" s="109">
        <v>28</v>
      </c>
      <c r="N107" s="109">
        <v>1</v>
      </c>
      <c r="O107" s="113"/>
      <c r="P107" s="112"/>
      <c r="Q107" s="37"/>
    </row>
    <row r="108" spans="1:17" ht="18.75" x14ac:dyDescent="0.3">
      <c r="A108" s="109">
        <v>29</v>
      </c>
      <c r="B108" s="109">
        <v>1</v>
      </c>
      <c r="C108" s="37"/>
      <c r="D108" s="109">
        <v>29</v>
      </c>
      <c r="E108" s="109">
        <v>1</v>
      </c>
      <c r="F108" s="113"/>
      <c r="G108" s="109">
        <v>29</v>
      </c>
      <c r="H108" s="109">
        <v>1</v>
      </c>
      <c r="I108" s="113"/>
      <c r="J108" s="113"/>
      <c r="K108" s="110"/>
      <c r="L108" s="112"/>
      <c r="M108" s="109">
        <v>29</v>
      </c>
      <c r="N108" s="109">
        <v>1</v>
      </c>
      <c r="O108" s="113"/>
      <c r="P108" s="112"/>
      <c r="Q108" s="37"/>
    </row>
    <row r="109" spans="1:17" ht="18.75" x14ac:dyDescent="0.3">
      <c r="A109" s="109">
        <v>30</v>
      </c>
      <c r="B109" s="109">
        <v>1</v>
      </c>
      <c r="C109" s="37"/>
      <c r="D109" s="109">
        <v>30</v>
      </c>
      <c r="E109" s="109">
        <v>1</v>
      </c>
      <c r="F109" s="113"/>
      <c r="G109" s="109">
        <v>30</v>
      </c>
      <c r="H109" s="109">
        <v>1</v>
      </c>
      <c r="I109" s="113"/>
      <c r="J109" s="113"/>
      <c r="K109" s="113"/>
      <c r="L109" s="112"/>
      <c r="M109" s="109">
        <v>30</v>
      </c>
      <c r="N109" s="109">
        <v>1</v>
      </c>
      <c r="O109" s="113"/>
      <c r="P109" s="112"/>
      <c r="Q109" s="37"/>
    </row>
    <row r="110" spans="1:17" ht="18.75" x14ac:dyDescent="0.3">
      <c r="A110" s="109">
        <v>31</v>
      </c>
      <c r="B110" s="109">
        <v>1</v>
      </c>
      <c r="C110" s="37"/>
      <c r="D110" s="109">
        <v>31</v>
      </c>
      <c r="E110" s="109" t="s">
        <v>179</v>
      </c>
      <c r="F110" s="113"/>
      <c r="G110" s="109">
        <v>31</v>
      </c>
      <c r="H110" s="109">
        <v>1</v>
      </c>
      <c r="I110" s="113"/>
      <c r="J110" s="113"/>
      <c r="K110" s="113"/>
      <c r="L110" s="112"/>
      <c r="M110" s="109">
        <v>31</v>
      </c>
      <c r="N110" s="109">
        <v>1</v>
      </c>
      <c r="O110" s="37"/>
      <c r="P110" s="37"/>
      <c r="Q110" s="37"/>
    </row>
    <row r="111" spans="1:17" ht="18.75" x14ac:dyDescent="0.3">
      <c r="A111" s="119">
        <v>32</v>
      </c>
      <c r="B111" s="119" t="s">
        <v>180</v>
      </c>
      <c r="C111" s="37"/>
      <c r="D111" s="109">
        <v>32</v>
      </c>
      <c r="E111" s="120" t="s">
        <v>179</v>
      </c>
      <c r="F111" s="113"/>
      <c r="G111" s="109">
        <v>32</v>
      </c>
      <c r="H111" s="109">
        <v>1</v>
      </c>
      <c r="I111" s="113"/>
      <c r="J111" s="113"/>
      <c r="K111" s="113"/>
      <c r="L111" s="112"/>
      <c r="M111" s="109">
        <v>32</v>
      </c>
      <c r="N111" s="109">
        <v>1</v>
      </c>
      <c r="O111" s="37"/>
      <c r="P111" s="37"/>
      <c r="Q111" s="37"/>
    </row>
    <row r="112" spans="1:17" ht="18.75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110"/>
      <c r="O112" s="37"/>
      <c r="P112" s="37"/>
      <c r="Q112" s="37"/>
    </row>
    <row r="113" spans="1:17" ht="18.75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</row>
  </sheetData>
  <mergeCells count="4">
    <mergeCell ref="V42:W42"/>
    <mergeCell ref="V43:W43"/>
    <mergeCell ref="V44:W44"/>
    <mergeCell ref="V45:W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6182-3643-4B26-9CFC-78DD7C13AB46}">
  <dimension ref="A1:AG60"/>
  <sheetViews>
    <sheetView zoomScale="60" zoomScaleNormal="60" workbookViewId="0">
      <selection activeCell="H12" sqref="H12"/>
    </sheetView>
  </sheetViews>
  <sheetFormatPr defaultRowHeight="15" x14ac:dyDescent="0.25"/>
  <cols>
    <col min="1" max="2" width="13.85546875" bestFit="1" customWidth="1"/>
    <col min="4" max="4" width="4" customWidth="1"/>
    <col min="5" max="5" width="19.140625" customWidth="1"/>
    <col min="6" max="6" width="14" customWidth="1"/>
    <col min="7" max="7" width="19.7109375" customWidth="1"/>
    <col min="8" max="8" width="11.85546875" customWidth="1"/>
    <col min="9" max="9" width="20.5703125" customWidth="1"/>
    <col min="11" max="11" width="16.28515625" customWidth="1"/>
    <col min="12" max="12" width="14.5703125" bestFit="1" customWidth="1"/>
    <col min="13" max="13" width="24" bestFit="1" customWidth="1"/>
    <col min="15" max="15" width="18.5703125" customWidth="1"/>
    <col min="17" max="17" width="13.85546875" customWidth="1"/>
    <col min="19" max="19" width="10" bestFit="1" customWidth="1"/>
    <col min="25" max="25" width="14.5703125" bestFit="1" customWidth="1"/>
    <col min="28" max="28" width="12.5703125" customWidth="1"/>
    <col min="29" max="29" width="14.28515625" customWidth="1"/>
    <col min="30" max="30" width="15.85546875" customWidth="1"/>
    <col min="31" max="31" width="14.85546875" customWidth="1"/>
    <col min="32" max="32" width="15" customWidth="1"/>
    <col min="33" max="33" width="14" customWidth="1"/>
  </cols>
  <sheetData>
    <row r="1" spans="3:33" ht="46.5" x14ac:dyDescent="0.7">
      <c r="C1" s="145" t="s">
        <v>204</v>
      </c>
      <c r="D1" s="146"/>
      <c r="E1" s="146"/>
      <c r="F1" s="146"/>
      <c r="G1" s="146"/>
      <c r="H1" s="146"/>
      <c r="I1" s="146"/>
      <c r="J1" s="146"/>
      <c r="K1" s="146"/>
      <c r="L1" s="146"/>
      <c r="M1" s="147"/>
    </row>
    <row r="3" spans="3:33" ht="15.75" thickBot="1" x14ac:dyDescent="0.3"/>
    <row r="4" spans="3:33" ht="15" customHeight="1" x14ac:dyDescent="0.25">
      <c r="C4" s="148" t="s">
        <v>207</v>
      </c>
      <c r="D4" s="149"/>
      <c r="E4" s="150"/>
      <c r="G4" s="157" t="s">
        <v>211</v>
      </c>
      <c r="H4" s="158"/>
      <c r="J4" s="163" t="s">
        <v>208</v>
      </c>
      <c r="K4" s="164"/>
      <c r="M4" s="157" t="s">
        <v>209</v>
      </c>
      <c r="N4" s="158"/>
      <c r="P4" s="157" t="s">
        <v>212</v>
      </c>
      <c r="Q4" s="158"/>
    </row>
    <row r="5" spans="3:33" ht="15" customHeight="1" x14ac:dyDescent="0.25">
      <c r="C5" s="151"/>
      <c r="D5" s="152"/>
      <c r="E5" s="153"/>
      <c r="G5" s="159"/>
      <c r="H5" s="160"/>
      <c r="J5" s="165"/>
      <c r="K5" s="166"/>
      <c r="M5" s="159"/>
      <c r="N5" s="160"/>
      <c r="P5" s="159"/>
      <c r="Q5" s="160"/>
    </row>
    <row r="6" spans="3:33" ht="15.75" customHeight="1" thickBot="1" x14ac:dyDescent="0.3">
      <c r="C6" s="154"/>
      <c r="D6" s="155"/>
      <c r="E6" s="156"/>
      <c r="G6" s="161"/>
      <c r="H6" s="162"/>
      <c r="J6" s="167"/>
      <c r="K6" s="168"/>
      <c r="M6" s="161"/>
      <c r="N6" s="162"/>
      <c r="P6" s="161"/>
      <c r="Q6" s="162"/>
    </row>
    <row r="7" spans="3:33" x14ac:dyDescent="0.25">
      <c r="C7" s="139" t="s">
        <v>206</v>
      </c>
      <c r="D7" s="140"/>
      <c r="E7" s="140"/>
      <c r="G7" t="s">
        <v>205</v>
      </c>
      <c r="M7" t="s">
        <v>210</v>
      </c>
    </row>
    <row r="8" spans="3:33" x14ac:dyDescent="0.25">
      <c r="C8" s="141"/>
      <c r="D8" s="142"/>
      <c r="E8" s="142"/>
    </row>
    <row r="9" spans="3:33" x14ac:dyDescent="0.25">
      <c r="C9" s="141"/>
      <c r="D9" s="142"/>
      <c r="E9" s="142"/>
    </row>
    <row r="10" spans="3:33" x14ac:dyDescent="0.25">
      <c r="C10" s="141"/>
      <c r="D10" s="142"/>
      <c r="E10" s="142"/>
    </row>
    <row r="11" spans="3:33" ht="15.75" thickBot="1" x14ac:dyDescent="0.3">
      <c r="C11" s="141"/>
      <c r="D11" s="142"/>
      <c r="E11" s="142"/>
    </row>
    <row r="12" spans="3:33" ht="75" x14ac:dyDescent="0.25">
      <c r="Y12" s="169" t="s">
        <v>181</v>
      </c>
      <c r="Z12" s="170" t="s">
        <v>0</v>
      </c>
      <c r="AA12" s="170" t="s">
        <v>219</v>
      </c>
      <c r="AB12" s="170" t="s">
        <v>220</v>
      </c>
      <c r="AC12" s="170" t="s">
        <v>221</v>
      </c>
      <c r="AD12" s="170" t="s">
        <v>222</v>
      </c>
      <c r="AE12" s="170" t="s">
        <v>223</v>
      </c>
      <c r="AF12" s="170" t="s">
        <v>224</v>
      </c>
      <c r="AG12" s="171" t="s">
        <v>225</v>
      </c>
    </row>
    <row r="13" spans="3:33" x14ac:dyDescent="0.25">
      <c r="Y13" s="172"/>
      <c r="Z13" s="1"/>
      <c r="AA13" s="21"/>
      <c r="AB13" s="1"/>
      <c r="AC13" s="1"/>
      <c r="AD13" s="1"/>
      <c r="AE13" s="1"/>
      <c r="AF13" s="1"/>
      <c r="AG13" s="173"/>
    </row>
    <row r="14" spans="3:33" ht="15.75" thickBot="1" x14ac:dyDescent="0.3">
      <c r="Y14" s="172"/>
      <c r="Z14" s="1"/>
      <c r="AA14" s="21"/>
      <c r="AB14" s="1"/>
      <c r="AC14" s="1"/>
      <c r="AD14" s="1"/>
      <c r="AE14" s="1"/>
      <c r="AF14" s="1"/>
      <c r="AG14" s="173"/>
    </row>
    <row r="15" spans="3:33" ht="90" x14ac:dyDescent="0.25">
      <c r="L15" s="178" t="s">
        <v>181</v>
      </c>
      <c r="M15" s="179" t="s">
        <v>183</v>
      </c>
      <c r="N15" s="179" t="s">
        <v>182</v>
      </c>
      <c r="O15" s="179" t="s">
        <v>201</v>
      </c>
      <c r="P15" s="179"/>
      <c r="Q15" s="179" t="s">
        <v>189</v>
      </c>
      <c r="R15" s="179" t="s">
        <v>202</v>
      </c>
      <c r="S15" s="179" t="s">
        <v>203</v>
      </c>
      <c r="T15" s="180" t="s">
        <v>218</v>
      </c>
      <c r="Y15" s="172"/>
      <c r="Z15" s="1"/>
      <c r="AA15" s="21"/>
      <c r="AB15" s="1"/>
      <c r="AC15" s="1"/>
      <c r="AD15" s="1"/>
      <c r="AE15" s="1"/>
      <c r="AF15" s="1"/>
      <c r="AG15" s="173"/>
    </row>
    <row r="16" spans="3:33" ht="15.75" thickBot="1" x14ac:dyDescent="0.3">
      <c r="L16" s="172" t="s">
        <v>190</v>
      </c>
      <c r="M16" s="138" t="s">
        <v>200</v>
      </c>
      <c r="N16" s="21">
        <v>45901</v>
      </c>
      <c r="O16" s="1">
        <v>0</v>
      </c>
      <c r="P16" s="1"/>
      <c r="Q16" s="1"/>
      <c r="R16" s="1">
        <v>500</v>
      </c>
      <c r="S16" s="1">
        <f>R16+O16</f>
        <v>500</v>
      </c>
      <c r="T16" s="173"/>
      <c r="Y16" s="172"/>
      <c r="Z16" s="1"/>
      <c r="AA16" s="21"/>
      <c r="AB16" s="1"/>
      <c r="AC16" s="1"/>
      <c r="AD16" s="1"/>
      <c r="AE16" s="1"/>
      <c r="AF16" s="1"/>
      <c r="AG16" s="173"/>
    </row>
    <row r="17" spans="1:33" ht="80.25" customHeight="1" x14ac:dyDescent="0.25">
      <c r="A17" s="178" t="s">
        <v>181</v>
      </c>
      <c r="B17" s="179" t="s">
        <v>183</v>
      </c>
      <c r="C17" s="179" t="s">
        <v>182</v>
      </c>
      <c r="D17" s="179" t="s">
        <v>187</v>
      </c>
      <c r="E17" s="179" t="s">
        <v>188</v>
      </c>
      <c r="F17" s="179" t="s">
        <v>189</v>
      </c>
      <c r="G17" s="179" t="s">
        <v>202</v>
      </c>
      <c r="H17" s="179" t="s">
        <v>203</v>
      </c>
      <c r="I17" s="180" t="s">
        <v>218</v>
      </c>
      <c r="L17" s="172" t="s">
        <v>191</v>
      </c>
      <c r="M17" s="138" t="s">
        <v>200</v>
      </c>
      <c r="N17" s="21">
        <v>45902</v>
      </c>
      <c r="O17" s="1">
        <v>0</v>
      </c>
      <c r="P17" s="1"/>
      <c r="Q17" s="1"/>
      <c r="R17" s="1">
        <v>500</v>
      </c>
      <c r="S17" s="1">
        <f t="shared" ref="S17:S25" si="0">R17+O17</f>
        <v>500</v>
      </c>
      <c r="T17" s="173"/>
      <c r="Y17" s="172"/>
      <c r="Z17" s="1"/>
      <c r="AA17" s="21"/>
      <c r="AB17" s="1"/>
      <c r="AC17" s="1"/>
      <c r="AD17" s="1"/>
      <c r="AE17" s="1"/>
      <c r="AF17" s="1"/>
      <c r="AG17" s="173"/>
    </row>
    <row r="18" spans="1:33" x14ac:dyDescent="0.25">
      <c r="A18" s="172" t="s">
        <v>190</v>
      </c>
      <c r="B18" s="138" t="s">
        <v>200</v>
      </c>
      <c r="C18" s="21">
        <v>45901</v>
      </c>
      <c r="D18" s="1">
        <v>0</v>
      </c>
      <c r="E18" s="1">
        <f>D18*10</f>
        <v>0</v>
      </c>
      <c r="F18" s="1"/>
      <c r="G18" s="1">
        <v>500</v>
      </c>
      <c r="H18" s="1">
        <f>G18+E18</f>
        <v>500</v>
      </c>
      <c r="I18" s="173"/>
      <c r="L18" s="172" t="s">
        <v>192</v>
      </c>
      <c r="M18" s="138" t="s">
        <v>200</v>
      </c>
      <c r="N18" s="21">
        <v>45903</v>
      </c>
      <c r="O18" s="1">
        <v>0</v>
      </c>
      <c r="P18" s="1"/>
      <c r="Q18" s="1"/>
      <c r="R18" s="1">
        <v>500</v>
      </c>
      <c r="S18" s="1">
        <f t="shared" si="0"/>
        <v>500</v>
      </c>
      <c r="T18" s="173"/>
      <c r="Y18" s="172"/>
      <c r="Z18" s="1"/>
      <c r="AA18" s="21"/>
      <c r="AB18" s="1"/>
      <c r="AC18" s="1"/>
      <c r="AD18" s="1"/>
      <c r="AE18" s="1"/>
      <c r="AF18" s="1"/>
      <c r="AG18" s="173"/>
    </row>
    <row r="19" spans="1:33" x14ac:dyDescent="0.25">
      <c r="A19" s="172" t="s">
        <v>191</v>
      </c>
      <c r="B19" s="138" t="s">
        <v>200</v>
      </c>
      <c r="C19" s="21">
        <v>45902</v>
      </c>
      <c r="D19" s="1">
        <v>2</v>
      </c>
      <c r="E19" s="1">
        <f>D19*10</f>
        <v>20</v>
      </c>
      <c r="F19" s="1"/>
      <c r="G19" s="1">
        <v>500</v>
      </c>
      <c r="H19" s="1">
        <f t="shared" ref="H19:H27" si="1">G19+E19</f>
        <v>520</v>
      </c>
      <c r="I19" s="173"/>
      <c r="L19" s="172" t="s">
        <v>193</v>
      </c>
      <c r="M19" s="1" t="s">
        <v>19</v>
      </c>
      <c r="N19" s="21">
        <v>45903</v>
      </c>
      <c r="O19" s="1">
        <v>0</v>
      </c>
      <c r="P19" s="1"/>
      <c r="Q19" s="1"/>
      <c r="R19" s="1">
        <v>500</v>
      </c>
      <c r="S19" s="1">
        <f t="shared" si="0"/>
        <v>500</v>
      </c>
      <c r="T19" s="173"/>
      <c r="Y19" s="172"/>
      <c r="Z19" s="1"/>
      <c r="AA19" s="21"/>
      <c r="AB19" s="1"/>
      <c r="AC19" s="1"/>
      <c r="AD19" s="1"/>
      <c r="AE19" s="1"/>
      <c r="AF19" s="1"/>
      <c r="AG19" s="173"/>
    </row>
    <row r="20" spans="1:33" x14ac:dyDescent="0.25">
      <c r="A20" s="172" t="s">
        <v>192</v>
      </c>
      <c r="B20" s="138" t="s">
        <v>200</v>
      </c>
      <c r="C20" s="21">
        <v>45903</v>
      </c>
      <c r="D20" s="1">
        <v>1</v>
      </c>
      <c r="E20" s="1">
        <f>D20*10</f>
        <v>10</v>
      </c>
      <c r="F20" s="1"/>
      <c r="G20" s="1">
        <v>500</v>
      </c>
      <c r="H20" s="1">
        <f t="shared" si="1"/>
        <v>510</v>
      </c>
      <c r="I20" s="173"/>
      <c r="L20" s="172" t="s">
        <v>194</v>
      </c>
      <c r="M20" s="1" t="s">
        <v>200</v>
      </c>
      <c r="N20" s="21">
        <v>45905</v>
      </c>
      <c r="O20" s="1">
        <v>20</v>
      </c>
      <c r="P20" s="1"/>
      <c r="Q20" s="1"/>
      <c r="R20" s="1">
        <v>500</v>
      </c>
      <c r="S20" s="1">
        <f t="shared" si="0"/>
        <v>520</v>
      </c>
      <c r="T20" s="173"/>
      <c r="Y20" s="172"/>
      <c r="Z20" s="1"/>
      <c r="AA20" s="21"/>
      <c r="AB20" s="1"/>
      <c r="AC20" s="1"/>
      <c r="AD20" s="1"/>
      <c r="AE20" s="1"/>
      <c r="AF20" s="1"/>
      <c r="AG20" s="173"/>
    </row>
    <row r="21" spans="1:33" x14ac:dyDescent="0.25">
      <c r="A21" s="172" t="s">
        <v>193</v>
      </c>
      <c r="B21" s="1" t="s">
        <v>19</v>
      </c>
      <c r="C21" s="21">
        <v>45903</v>
      </c>
      <c r="D21" s="1">
        <v>0</v>
      </c>
      <c r="E21" s="1">
        <f t="shared" ref="E21:E27" si="2">D21*10</f>
        <v>0</v>
      </c>
      <c r="F21" s="1"/>
      <c r="G21" s="1">
        <v>500</v>
      </c>
      <c r="H21" s="1">
        <f t="shared" si="1"/>
        <v>500</v>
      </c>
      <c r="I21" s="173"/>
      <c r="L21" s="172" t="s">
        <v>195</v>
      </c>
      <c r="M21" s="1" t="s">
        <v>200</v>
      </c>
      <c r="N21" s="21">
        <v>45901</v>
      </c>
      <c r="O21" s="1">
        <v>0</v>
      </c>
      <c r="P21" s="1"/>
      <c r="Q21" s="1"/>
      <c r="R21" s="1">
        <v>500</v>
      </c>
      <c r="S21" s="1">
        <f t="shared" si="0"/>
        <v>500</v>
      </c>
      <c r="T21" s="173"/>
      <c r="Y21" s="172"/>
      <c r="Z21" s="1"/>
      <c r="AA21" s="21"/>
      <c r="AB21" s="1"/>
      <c r="AC21" s="1"/>
      <c r="AD21" s="1"/>
      <c r="AE21" s="1"/>
      <c r="AF21" s="1"/>
      <c r="AG21" s="173"/>
    </row>
    <row r="22" spans="1:33" ht="15.75" thickBot="1" x14ac:dyDescent="0.3">
      <c r="A22" s="172" t="s">
        <v>194</v>
      </c>
      <c r="B22" s="1" t="s">
        <v>200</v>
      </c>
      <c r="C22" s="21">
        <v>45905</v>
      </c>
      <c r="D22" s="1">
        <v>1</v>
      </c>
      <c r="E22" s="1">
        <f t="shared" si="2"/>
        <v>10</v>
      </c>
      <c r="F22" s="1"/>
      <c r="G22" s="1">
        <v>500</v>
      </c>
      <c r="H22" s="1">
        <f t="shared" si="1"/>
        <v>510</v>
      </c>
      <c r="I22" s="173"/>
      <c r="L22" s="172" t="s">
        <v>196</v>
      </c>
      <c r="M22" s="1" t="s">
        <v>200</v>
      </c>
      <c r="N22" s="21">
        <v>45903</v>
      </c>
      <c r="O22" s="1">
        <v>0</v>
      </c>
      <c r="P22" s="1"/>
      <c r="Q22" s="1"/>
      <c r="R22" s="1">
        <v>500</v>
      </c>
      <c r="S22" s="1">
        <f t="shared" si="0"/>
        <v>500</v>
      </c>
      <c r="T22" s="173"/>
      <c r="Y22" s="174"/>
      <c r="Z22" s="175"/>
      <c r="AA22" s="176"/>
      <c r="AB22" s="175"/>
      <c r="AC22" s="175"/>
      <c r="AD22" s="175"/>
      <c r="AE22" s="175"/>
      <c r="AF22" s="175"/>
      <c r="AG22" s="177"/>
    </row>
    <row r="23" spans="1:33" x14ac:dyDescent="0.25">
      <c r="A23" s="172" t="s">
        <v>195</v>
      </c>
      <c r="B23" s="1" t="s">
        <v>200</v>
      </c>
      <c r="C23" s="21">
        <v>45901</v>
      </c>
      <c r="D23" s="1">
        <v>0</v>
      </c>
      <c r="E23" s="1">
        <f t="shared" si="2"/>
        <v>0</v>
      </c>
      <c r="F23" s="1"/>
      <c r="G23" s="1">
        <v>500</v>
      </c>
      <c r="H23" s="1">
        <f t="shared" si="1"/>
        <v>500</v>
      </c>
      <c r="I23" s="173"/>
      <c r="L23" s="172" t="s">
        <v>197</v>
      </c>
      <c r="M23" s="1" t="s">
        <v>200</v>
      </c>
      <c r="N23" s="21">
        <v>45905</v>
      </c>
      <c r="O23" s="1">
        <v>20</v>
      </c>
      <c r="P23" s="1"/>
      <c r="Q23" s="1"/>
      <c r="R23" s="1">
        <v>500</v>
      </c>
      <c r="S23" s="1">
        <f t="shared" si="0"/>
        <v>520</v>
      </c>
      <c r="T23" s="173"/>
    </row>
    <row r="24" spans="1:33" x14ac:dyDescent="0.25">
      <c r="A24" s="172" t="s">
        <v>196</v>
      </c>
      <c r="B24" s="1" t="s">
        <v>200</v>
      </c>
      <c r="C24" s="21">
        <v>45903</v>
      </c>
      <c r="D24" s="1">
        <v>5</v>
      </c>
      <c r="E24" s="1">
        <f t="shared" si="2"/>
        <v>50</v>
      </c>
      <c r="F24" s="1"/>
      <c r="G24" s="1">
        <v>500</v>
      </c>
      <c r="H24" s="1">
        <f t="shared" si="1"/>
        <v>550</v>
      </c>
      <c r="I24" s="173"/>
      <c r="L24" s="172" t="s">
        <v>198</v>
      </c>
      <c r="M24" s="1" t="s">
        <v>200</v>
      </c>
      <c r="N24" s="21">
        <v>45901</v>
      </c>
      <c r="O24" s="1">
        <v>0</v>
      </c>
      <c r="P24" s="1"/>
      <c r="Q24" s="1"/>
      <c r="R24" s="1">
        <v>500</v>
      </c>
      <c r="S24" s="1">
        <f t="shared" si="0"/>
        <v>500</v>
      </c>
      <c r="T24" s="173"/>
    </row>
    <row r="25" spans="1:33" ht="15.75" thickBot="1" x14ac:dyDescent="0.3">
      <c r="A25" s="172" t="s">
        <v>197</v>
      </c>
      <c r="B25" s="1" t="s">
        <v>200</v>
      </c>
      <c r="C25" s="21">
        <v>45905</v>
      </c>
      <c r="D25" s="1"/>
      <c r="E25" s="1">
        <f t="shared" si="2"/>
        <v>0</v>
      </c>
      <c r="F25" s="1"/>
      <c r="G25" s="1">
        <v>500</v>
      </c>
      <c r="H25" s="1">
        <f t="shared" si="1"/>
        <v>500</v>
      </c>
      <c r="I25" s="173"/>
      <c r="L25" s="174" t="s">
        <v>199</v>
      </c>
      <c r="M25" s="175" t="s">
        <v>200</v>
      </c>
      <c r="N25" s="176">
        <v>45901</v>
      </c>
      <c r="O25" s="175">
        <v>0</v>
      </c>
      <c r="P25" s="175"/>
      <c r="Q25" s="175"/>
      <c r="R25" s="175">
        <v>500</v>
      </c>
      <c r="S25" s="175">
        <f t="shared" si="0"/>
        <v>500</v>
      </c>
      <c r="T25" s="177"/>
    </row>
    <row r="26" spans="1:33" x14ac:dyDescent="0.25">
      <c r="A26" s="172" t="s">
        <v>198</v>
      </c>
      <c r="B26" s="1" t="s">
        <v>200</v>
      </c>
      <c r="C26" s="21">
        <v>45901</v>
      </c>
      <c r="D26" s="1"/>
      <c r="E26" s="1">
        <f t="shared" si="2"/>
        <v>0</v>
      </c>
      <c r="F26" s="1"/>
      <c r="G26" s="1">
        <v>500</v>
      </c>
      <c r="H26" s="1">
        <f t="shared" si="1"/>
        <v>500</v>
      </c>
      <c r="I26" s="173"/>
    </row>
    <row r="27" spans="1:33" ht="15.75" thickBot="1" x14ac:dyDescent="0.3">
      <c r="A27" s="174" t="s">
        <v>199</v>
      </c>
      <c r="B27" s="175" t="s">
        <v>200</v>
      </c>
      <c r="C27" s="176">
        <v>45901</v>
      </c>
      <c r="D27" s="175"/>
      <c r="E27" s="175">
        <f t="shared" si="2"/>
        <v>0</v>
      </c>
      <c r="F27" s="175"/>
      <c r="G27" s="175">
        <v>500</v>
      </c>
      <c r="H27" s="175">
        <f t="shared" si="1"/>
        <v>500</v>
      </c>
      <c r="I27" s="177"/>
    </row>
    <row r="31" spans="1:33" ht="15.75" thickBot="1" x14ac:dyDescent="0.3"/>
    <row r="32" spans="1:33" ht="120" x14ac:dyDescent="0.25">
      <c r="I32" s="178" t="s">
        <v>181</v>
      </c>
      <c r="J32" s="179" t="s">
        <v>183</v>
      </c>
      <c r="K32" s="179" t="s">
        <v>182</v>
      </c>
      <c r="L32" s="179" t="s">
        <v>184</v>
      </c>
      <c r="M32" s="179" t="s">
        <v>185</v>
      </c>
      <c r="N32" s="179" t="s">
        <v>186</v>
      </c>
      <c r="O32" s="179" t="s">
        <v>187</v>
      </c>
      <c r="P32" s="179" t="s">
        <v>188</v>
      </c>
      <c r="Q32" s="179" t="s">
        <v>189</v>
      </c>
      <c r="R32" s="179" t="s">
        <v>202</v>
      </c>
      <c r="S32" s="179" t="s">
        <v>203</v>
      </c>
      <c r="T32" s="180" t="s">
        <v>218</v>
      </c>
    </row>
    <row r="33" spans="9:20" x14ac:dyDescent="0.25">
      <c r="I33" s="172" t="s">
        <v>190</v>
      </c>
      <c r="J33" s="138" t="s">
        <v>200</v>
      </c>
      <c r="K33" s="21">
        <v>45901</v>
      </c>
      <c r="L33" s="1" t="s">
        <v>171</v>
      </c>
      <c r="M33" s="1">
        <v>50</v>
      </c>
      <c r="N33" s="1">
        <f>(R33/30)*30</f>
        <v>500.00000000000006</v>
      </c>
      <c r="O33" s="1">
        <v>0</v>
      </c>
      <c r="P33" s="1">
        <f>O33*10</f>
        <v>0</v>
      </c>
      <c r="Q33" s="1"/>
      <c r="R33" s="1">
        <v>500</v>
      </c>
      <c r="S33" s="1">
        <f>N33+P33</f>
        <v>500.00000000000006</v>
      </c>
      <c r="T33" s="173"/>
    </row>
    <row r="34" spans="9:20" x14ac:dyDescent="0.25">
      <c r="I34" s="172" t="s">
        <v>191</v>
      </c>
      <c r="J34" s="138" t="s">
        <v>200</v>
      </c>
      <c r="K34" s="21">
        <v>45902</v>
      </c>
      <c r="L34" s="1" t="s">
        <v>171</v>
      </c>
      <c r="M34" s="1"/>
      <c r="N34" s="1">
        <f>(R34/30)*29</f>
        <v>483.33333333333337</v>
      </c>
      <c r="O34" s="1">
        <v>2</v>
      </c>
      <c r="P34" s="1">
        <f>O34*10</f>
        <v>20</v>
      </c>
      <c r="Q34" s="1"/>
      <c r="R34" s="1">
        <v>500</v>
      </c>
      <c r="S34" s="1">
        <f t="shared" ref="S34:S42" si="3">N34+P34</f>
        <v>503.33333333333337</v>
      </c>
      <c r="T34" s="173"/>
    </row>
    <row r="35" spans="9:20" x14ac:dyDescent="0.25">
      <c r="I35" s="172" t="s">
        <v>192</v>
      </c>
      <c r="J35" s="138" t="s">
        <v>200</v>
      </c>
      <c r="K35" s="21">
        <v>45903</v>
      </c>
      <c r="L35" s="1" t="s">
        <v>171</v>
      </c>
      <c r="M35" s="1"/>
      <c r="N35" s="1">
        <f>(R35/30)*28</f>
        <v>466.66666666666669</v>
      </c>
      <c r="O35" s="1">
        <v>1</v>
      </c>
      <c r="P35" s="1">
        <f>O35*10</f>
        <v>10</v>
      </c>
      <c r="Q35" s="1"/>
      <c r="R35" s="1">
        <v>500</v>
      </c>
      <c r="S35" s="1">
        <f t="shared" si="3"/>
        <v>476.66666666666669</v>
      </c>
      <c r="T35" s="173"/>
    </row>
    <row r="36" spans="9:20" x14ac:dyDescent="0.25">
      <c r="I36" s="172" t="s">
        <v>193</v>
      </c>
      <c r="J36" s="1" t="s">
        <v>19</v>
      </c>
      <c r="K36" s="21">
        <v>45903</v>
      </c>
      <c r="L36" s="1" t="s">
        <v>171</v>
      </c>
      <c r="M36" s="1"/>
      <c r="N36" s="1">
        <f>(R36/30)*28</f>
        <v>466.66666666666669</v>
      </c>
      <c r="O36" s="1">
        <v>0</v>
      </c>
      <c r="P36" s="1">
        <f t="shared" ref="P36:P42" si="4">O36*10</f>
        <v>0</v>
      </c>
      <c r="Q36" s="1"/>
      <c r="R36" s="1">
        <v>500</v>
      </c>
      <c r="S36" s="1">
        <f t="shared" si="3"/>
        <v>466.66666666666669</v>
      </c>
      <c r="T36" s="173"/>
    </row>
    <row r="37" spans="9:20" x14ac:dyDescent="0.25">
      <c r="I37" s="172" t="s">
        <v>194</v>
      </c>
      <c r="J37" s="1" t="s">
        <v>200</v>
      </c>
      <c r="K37" s="21">
        <v>45905</v>
      </c>
      <c r="L37" s="1" t="s">
        <v>171</v>
      </c>
      <c r="M37" s="1">
        <v>50</v>
      </c>
      <c r="N37" s="1">
        <f t="shared" ref="N34:N42" si="5">(R37/30)*30</f>
        <v>500.00000000000006</v>
      </c>
      <c r="O37" s="1">
        <v>1</v>
      </c>
      <c r="P37" s="1">
        <f t="shared" si="4"/>
        <v>10</v>
      </c>
      <c r="Q37" s="1"/>
      <c r="R37" s="1">
        <v>500</v>
      </c>
      <c r="S37" s="1">
        <f t="shared" si="3"/>
        <v>510.00000000000006</v>
      </c>
      <c r="T37" s="173"/>
    </row>
    <row r="38" spans="9:20" x14ac:dyDescent="0.25">
      <c r="I38" s="172" t="s">
        <v>195</v>
      </c>
      <c r="J38" s="1" t="s">
        <v>200</v>
      </c>
      <c r="K38" s="21">
        <v>45901</v>
      </c>
      <c r="L38" s="1" t="s">
        <v>171</v>
      </c>
      <c r="M38" s="1"/>
      <c r="N38" s="1">
        <f t="shared" si="5"/>
        <v>500.00000000000006</v>
      </c>
      <c r="O38" s="1">
        <v>0</v>
      </c>
      <c r="P38" s="1">
        <f t="shared" si="4"/>
        <v>0</v>
      </c>
      <c r="Q38" s="1"/>
      <c r="R38" s="1">
        <v>500</v>
      </c>
      <c r="S38" s="1">
        <f t="shared" si="3"/>
        <v>500.00000000000006</v>
      </c>
      <c r="T38" s="173"/>
    </row>
    <row r="39" spans="9:20" x14ac:dyDescent="0.25">
      <c r="I39" s="172" t="s">
        <v>196</v>
      </c>
      <c r="J39" s="1" t="s">
        <v>200</v>
      </c>
      <c r="K39" s="21">
        <v>45903</v>
      </c>
      <c r="L39" s="1" t="s">
        <v>171</v>
      </c>
      <c r="M39" s="1"/>
      <c r="N39" s="1">
        <f>(R39/30)*28</f>
        <v>466.66666666666669</v>
      </c>
      <c r="O39" s="1">
        <v>5</v>
      </c>
      <c r="P39" s="1">
        <f t="shared" si="4"/>
        <v>50</v>
      </c>
      <c r="Q39" s="1"/>
      <c r="R39" s="1">
        <v>500</v>
      </c>
      <c r="S39" s="1">
        <f t="shared" si="3"/>
        <v>516.66666666666674</v>
      </c>
      <c r="T39" s="173"/>
    </row>
    <row r="40" spans="9:20" x14ac:dyDescent="0.25">
      <c r="I40" s="172" t="s">
        <v>197</v>
      </c>
      <c r="J40" s="1" t="s">
        <v>200</v>
      </c>
      <c r="K40" s="21">
        <v>45905</v>
      </c>
      <c r="L40" s="1" t="s">
        <v>171</v>
      </c>
      <c r="M40" s="1"/>
      <c r="N40" s="1">
        <f>(R40/30)*26</f>
        <v>433.33333333333337</v>
      </c>
      <c r="O40" s="1"/>
      <c r="P40" s="1">
        <f t="shared" si="4"/>
        <v>0</v>
      </c>
      <c r="Q40" s="1"/>
      <c r="R40" s="1">
        <v>500</v>
      </c>
      <c r="S40" s="1">
        <f t="shared" si="3"/>
        <v>433.33333333333337</v>
      </c>
      <c r="T40" s="173"/>
    </row>
    <row r="41" spans="9:20" x14ac:dyDescent="0.25">
      <c r="I41" s="172" t="s">
        <v>198</v>
      </c>
      <c r="J41" s="1" t="s">
        <v>200</v>
      </c>
      <c r="K41" s="21">
        <v>45901</v>
      </c>
      <c r="L41" s="1" t="s">
        <v>171</v>
      </c>
      <c r="M41" s="1"/>
      <c r="N41" s="1">
        <f t="shared" si="5"/>
        <v>500.00000000000006</v>
      </c>
      <c r="O41" s="1"/>
      <c r="P41" s="1">
        <f t="shared" si="4"/>
        <v>0</v>
      </c>
      <c r="Q41" s="1"/>
      <c r="R41" s="1">
        <v>500</v>
      </c>
      <c r="S41" s="1">
        <f t="shared" si="3"/>
        <v>500.00000000000006</v>
      </c>
      <c r="T41" s="173"/>
    </row>
    <row r="42" spans="9:20" ht="15.75" thickBot="1" x14ac:dyDescent="0.3">
      <c r="I42" s="174" t="s">
        <v>199</v>
      </c>
      <c r="J42" s="175" t="s">
        <v>200</v>
      </c>
      <c r="K42" s="176">
        <v>45901</v>
      </c>
      <c r="L42" s="175" t="s">
        <v>171</v>
      </c>
      <c r="M42" s="175"/>
      <c r="N42" s="175">
        <f t="shared" si="5"/>
        <v>500.00000000000006</v>
      </c>
      <c r="O42" s="175"/>
      <c r="P42" s="175">
        <f t="shared" si="4"/>
        <v>0</v>
      </c>
      <c r="Q42" s="175"/>
      <c r="R42" s="175">
        <v>500</v>
      </c>
      <c r="S42" s="175">
        <f t="shared" si="3"/>
        <v>500.00000000000006</v>
      </c>
      <c r="T42" s="177"/>
    </row>
    <row r="48" spans="9:20" x14ac:dyDescent="0.25">
      <c r="J48" s="143"/>
      <c r="K48" s="143"/>
      <c r="L48" s="143"/>
      <c r="M48" s="143"/>
    </row>
    <row r="49" spans="1:13" ht="45" x14ac:dyDescent="0.25">
      <c r="A49" s="1" t="s">
        <v>181</v>
      </c>
      <c r="B49" s="2" t="s">
        <v>217</v>
      </c>
      <c r="C49" s="2" t="s">
        <v>213</v>
      </c>
      <c r="D49" s="2"/>
      <c r="E49" s="2" t="s">
        <v>214</v>
      </c>
      <c r="F49" s="2" t="s">
        <v>215</v>
      </c>
      <c r="G49" s="2" t="s">
        <v>189</v>
      </c>
      <c r="H49" s="2" t="s">
        <v>216</v>
      </c>
      <c r="I49" s="2" t="s">
        <v>218</v>
      </c>
      <c r="J49" s="144"/>
      <c r="K49" s="144"/>
      <c r="L49" s="144"/>
      <c r="M49" s="144"/>
    </row>
    <row r="50" spans="1:13" x14ac:dyDescent="0.25">
      <c r="A50" s="1" t="s">
        <v>190</v>
      </c>
      <c r="B50" s="138" t="s">
        <v>200</v>
      </c>
      <c r="C50" s="21">
        <v>45901</v>
      </c>
      <c r="D50" s="1"/>
      <c r="E50" s="1">
        <v>600</v>
      </c>
      <c r="F50" s="1"/>
      <c r="G50" s="1"/>
      <c r="H50" s="1"/>
      <c r="I50" s="1"/>
      <c r="J50" s="143"/>
      <c r="K50" s="143"/>
      <c r="L50" s="143"/>
      <c r="M50" s="143"/>
    </row>
    <row r="51" spans="1:13" x14ac:dyDescent="0.25">
      <c r="A51" s="1" t="s">
        <v>191</v>
      </c>
      <c r="B51" s="138" t="s">
        <v>200</v>
      </c>
      <c r="C51" s="21">
        <v>45902</v>
      </c>
      <c r="D51" s="1"/>
      <c r="E51" s="1"/>
      <c r="F51" s="1"/>
      <c r="G51" s="1"/>
      <c r="H51" s="1"/>
      <c r="I51" s="1"/>
      <c r="J51" s="143"/>
      <c r="K51" s="143"/>
      <c r="L51" s="143"/>
      <c r="M51" s="143"/>
    </row>
    <row r="52" spans="1:13" x14ac:dyDescent="0.25">
      <c r="A52" s="1" t="s">
        <v>192</v>
      </c>
      <c r="B52" s="138" t="s">
        <v>200</v>
      </c>
      <c r="C52" s="21">
        <v>45903</v>
      </c>
      <c r="D52" s="1"/>
      <c r="E52" s="1"/>
      <c r="F52" s="1"/>
      <c r="G52" s="1"/>
      <c r="H52" s="1"/>
      <c r="I52" s="1"/>
      <c r="J52" s="143"/>
      <c r="K52" s="143"/>
      <c r="L52" s="143"/>
      <c r="M52" s="143"/>
    </row>
    <row r="53" spans="1:13" x14ac:dyDescent="0.25">
      <c r="A53" s="1" t="s">
        <v>193</v>
      </c>
      <c r="B53" s="1" t="s">
        <v>19</v>
      </c>
      <c r="C53" s="21">
        <v>45903</v>
      </c>
      <c r="D53" s="1"/>
      <c r="E53" s="1"/>
      <c r="F53" s="1"/>
      <c r="G53" s="1"/>
      <c r="H53" s="1"/>
      <c r="I53" s="1"/>
      <c r="J53" s="143"/>
      <c r="K53" s="143"/>
      <c r="L53" s="143"/>
      <c r="M53" s="143"/>
    </row>
    <row r="54" spans="1:13" x14ac:dyDescent="0.25">
      <c r="A54" s="1" t="s">
        <v>194</v>
      </c>
      <c r="B54" s="1" t="s">
        <v>200</v>
      </c>
      <c r="C54" s="21">
        <v>45905</v>
      </c>
      <c r="D54" s="1"/>
      <c r="E54" s="1"/>
      <c r="F54" s="1"/>
      <c r="G54" s="1"/>
      <c r="H54" s="1"/>
      <c r="I54" s="1"/>
      <c r="J54" s="143"/>
      <c r="K54" s="143"/>
      <c r="L54" s="143"/>
      <c r="M54" s="143"/>
    </row>
    <row r="55" spans="1:13" x14ac:dyDescent="0.25">
      <c r="A55" s="1" t="s">
        <v>195</v>
      </c>
      <c r="B55" s="1" t="s">
        <v>200</v>
      </c>
      <c r="C55" s="21">
        <v>45901</v>
      </c>
      <c r="D55" s="1"/>
      <c r="E55" s="1"/>
      <c r="F55" s="1"/>
      <c r="G55" s="1"/>
      <c r="H55" s="1"/>
      <c r="I55" s="1"/>
      <c r="J55" s="143"/>
      <c r="K55" s="143"/>
      <c r="L55" s="143"/>
      <c r="M55" s="143"/>
    </row>
    <row r="56" spans="1:13" x14ac:dyDescent="0.25">
      <c r="A56" s="1" t="s">
        <v>196</v>
      </c>
      <c r="B56" s="1" t="s">
        <v>200</v>
      </c>
      <c r="C56" s="21">
        <v>45903</v>
      </c>
      <c r="D56" s="1"/>
      <c r="E56" s="1"/>
      <c r="F56" s="1"/>
      <c r="G56" s="1"/>
      <c r="H56" s="1"/>
      <c r="I56" s="1"/>
      <c r="J56" s="143"/>
      <c r="K56" s="143"/>
      <c r="L56" s="143"/>
      <c r="M56" s="143"/>
    </row>
    <row r="57" spans="1:13" x14ac:dyDescent="0.25">
      <c r="A57" s="1" t="s">
        <v>197</v>
      </c>
      <c r="B57" s="1" t="s">
        <v>200</v>
      </c>
      <c r="C57" s="21">
        <v>45905</v>
      </c>
      <c r="D57" s="1"/>
      <c r="E57" s="1"/>
      <c r="F57" s="1"/>
      <c r="G57" s="1"/>
      <c r="H57" s="1"/>
      <c r="I57" s="1"/>
      <c r="J57" s="143"/>
      <c r="K57" s="143"/>
      <c r="L57" s="143"/>
      <c r="M57" s="143"/>
    </row>
    <row r="58" spans="1:13" x14ac:dyDescent="0.25">
      <c r="A58" s="1" t="s">
        <v>198</v>
      </c>
      <c r="B58" s="1" t="s">
        <v>200</v>
      </c>
      <c r="C58" s="21">
        <v>45901</v>
      </c>
      <c r="D58" s="1"/>
      <c r="E58" s="1"/>
      <c r="F58" s="1"/>
      <c r="G58" s="1"/>
      <c r="H58" s="1"/>
      <c r="I58" s="1"/>
      <c r="J58" s="143"/>
      <c r="K58" s="143"/>
      <c r="L58" s="143"/>
      <c r="M58" s="143"/>
    </row>
    <row r="59" spans="1:13" x14ac:dyDescent="0.25">
      <c r="A59" s="1" t="s">
        <v>199</v>
      </c>
      <c r="B59" s="1" t="s">
        <v>200</v>
      </c>
      <c r="C59" s="21">
        <v>45901</v>
      </c>
      <c r="D59" s="1"/>
      <c r="E59" s="1"/>
      <c r="F59" s="1"/>
      <c r="G59" s="1"/>
      <c r="H59" s="1"/>
      <c r="I59" s="1"/>
      <c r="J59" s="143"/>
      <c r="K59" s="143"/>
      <c r="L59" s="143"/>
      <c r="M59" s="143"/>
    </row>
    <row r="60" spans="1:13" x14ac:dyDescent="0.25">
      <c r="J60" s="143"/>
      <c r="K60" s="143"/>
      <c r="L60" s="143"/>
      <c r="M60" s="143"/>
    </row>
  </sheetData>
  <mergeCells count="7">
    <mergeCell ref="P4:Q6"/>
    <mergeCell ref="C1:M1"/>
    <mergeCell ref="C4:E6"/>
    <mergeCell ref="G4:H6"/>
    <mergeCell ref="C7:E11"/>
    <mergeCell ref="J4:K6"/>
    <mergeCell ref="M4:N6"/>
  </mergeCells>
  <phoneticPr fontId="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Aug 25 (Example)</vt:lpstr>
      <vt:lpstr>Check sheet employee</vt:lpstr>
      <vt:lpstr>Tracking  Table</vt:lpstr>
      <vt:lpstr>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POTGIETER</dc:creator>
  <cp:lastModifiedBy>ANNETTE POTGIETER</cp:lastModifiedBy>
  <cp:lastPrinted>2025-08-17T16:12:07Z</cp:lastPrinted>
  <dcterms:created xsi:type="dcterms:W3CDTF">2025-08-03T13:07:28Z</dcterms:created>
  <dcterms:modified xsi:type="dcterms:W3CDTF">2025-08-17T16:15:09Z</dcterms:modified>
</cp:coreProperties>
</file>